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HaoWork\15_提案書\20201102\"/>
    </mc:Choice>
  </mc:AlternateContent>
  <xr:revisionPtr revIDLastSave="0" documentId="13_ncr:1_{DD25FAA7-64FD-40FA-A168-F16EF4511F32}" xr6:coauthVersionLast="45" xr6:coauthVersionMax="45" xr10:uidLastSave="{00000000-0000-0000-0000-000000000000}"/>
  <bookViews>
    <workbookView xWindow="28680" yWindow="-120" windowWidth="29040" windowHeight="15840" activeTab="1" xr2:uid="{00000000-000D-0000-FFFF-FFFF00000000}"/>
  </bookViews>
  <sheets>
    <sheet name="スケジュール" sheetId="5" r:id="rId1"/>
    <sheet name="見積工数" sheetId="2" r:id="rId2"/>
    <sheet name="詳細見積" sheetId="1" r:id="rId3"/>
    <sheet name="品質評価" sheetId="3" r:id="rId4"/>
    <sheet name="制約事項" sheetId="4" r:id="rId5"/>
  </sheets>
  <definedNames>
    <definedName name="_xlnm._FilterDatabase" localSheetId="2" hidden="1">詳細見積!$A$2:$F$122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33" i="2" l="1"/>
  <c r="D52" i="2"/>
  <c r="F181" i="1"/>
  <c r="E36" i="2" l="1"/>
  <c r="E52" i="2" s="1"/>
  <c r="E27" i="2"/>
  <c r="E33" i="2" s="1"/>
  <c r="D23" i="2" l="1"/>
  <c r="E17" i="2"/>
  <c r="E12" i="2"/>
  <c r="E3" i="2"/>
  <c r="E23" i="2" l="1"/>
</calcChain>
</file>

<file path=xl/sharedStrings.xml><?xml version="1.0" encoding="utf-8"?>
<sst xmlns="http://schemas.openxmlformats.org/spreadsheetml/2006/main" count="513" uniqueCount="214">
  <si>
    <t>①．</t>
    <phoneticPr fontId="4"/>
  </si>
  <si>
    <t>②．</t>
    <phoneticPr fontId="4"/>
  </si>
  <si>
    <t>起動中画面。（認証、データ取得処理）</t>
    <rPh sb="0" eb="2">
      <t>キドウ</t>
    </rPh>
    <rPh sb="2" eb="3">
      <t>チュウ</t>
    </rPh>
    <rPh sb="3" eb="5">
      <t>ガメン</t>
    </rPh>
    <rPh sb="7" eb="9">
      <t>ニンショウ</t>
    </rPh>
    <rPh sb="13" eb="15">
      <t>シュトク</t>
    </rPh>
    <rPh sb="15" eb="17">
      <t>ショリ</t>
    </rPh>
    <phoneticPr fontId="4"/>
  </si>
  <si>
    <t>③．</t>
    <phoneticPr fontId="4"/>
  </si>
  <si>
    <t>④．</t>
    <phoneticPr fontId="4"/>
  </si>
  <si>
    <t>⑤．</t>
    <phoneticPr fontId="4"/>
  </si>
  <si>
    <t>⑥．</t>
    <phoneticPr fontId="4"/>
  </si>
  <si>
    <t>マニュアルをリンク</t>
    <phoneticPr fontId="4"/>
  </si>
  <si>
    <t>画面構造</t>
  </si>
  <si>
    <t>フォルダ選択画面</t>
  </si>
  <si>
    <t>患者検索画面</t>
  </si>
  <si>
    <t>②．</t>
    <phoneticPr fontId="4"/>
  </si>
  <si>
    <t>動画サムネイル画面</t>
  </si>
  <si>
    <t>①．</t>
    <phoneticPr fontId="4"/>
  </si>
  <si>
    <t>③．</t>
    <phoneticPr fontId="4"/>
  </si>
  <si>
    <t>選択された動画ファイルから三枚表示する。</t>
    <rPh sb="0" eb="2">
      <t>センタク</t>
    </rPh>
    <rPh sb="5" eb="7">
      <t>ドウガ</t>
    </rPh>
    <rPh sb="13" eb="15">
      <t>サンマイ</t>
    </rPh>
    <rPh sb="15" eb="17">
      <t>ヒョウジ</t>
    </rPh>
    <phoneticPr fontId="4"/>
  </si>
  <si>
    <t>動画再生画面</t>
  </si>
  <si>
    <t>再生中の動画ファイル名、格納フォルダ、最新撮影日時を表示する</t>
    <rPh sb="0" eb="2">
      <t>サイセイ</t>
    </rPh>
    <rPh sb="2" eb="3">
      <t>チュウ</t>
    </rPh>
    <rPh sb="4" eb="6">
      <t>ドウガ</t>
    </rPh>
    <rPh sb="10" eb="11">
      <t>メイ</t>
    </rPh>
    <rPh sb="12" eb="14">
      <t>カクノウ</t>
    </rPh>
    <rPh sb="19" eb="21">
      <t>サイシン</t>
    </rPh>
    <rPh sb="21" eb="23">
      <t>サツエイ</t>
    </rPh>
    <rPh sb="23" eb="25">
      <t>ニチジ</t>
    </rPh>
    <rPh sb="26" eb="28">
      <t>ヒョウジ</t>
    </rPh>
    <phoneticPr fontId="4"/>
  </si>
  <si>
    <t>④．</t>
    <phoneticPr fontId="4"/>
  </si>
  <si>
    <t>再生中の動画ファイルの開始時間は調整可能です。</t>
    <rPh sb="11" eb="13">
      <t>カイシ</t>
    </rPh>
    <rPh sb="13" eb="15">
      <t>ジカン</t>
    </rPh>
    <rPh sb="16" eb="18">
      <t>チョウセイ</t>
    </rPh>
    <rPh sb="18" eb="20">
      <t>カノウ</t>
    </rPh>
    <phoneticPr fontId="4"/>
  </si>
  <si>
    <t>⑥．</t>
    <phoneticPr fontId="4"/>
  </si>
  <si>
    <t>再生中の動画ファイルの音量は調整可能です。</t>
    <rPh sb="11" eb="13">
      <t>オンリョウ</t>
    </rPh>
    <rPh sb="14" eb="16">
      <t>チョウセイ</t>
    </rPh>
    <rPh sb="16" eb="18">
      <t>カノウ</t>
    </rPh>
    <phoneticPr fontId="4"/>
  </si>
  <si>
    <t>⑦．</t>
    <phoneticPr fontId="4"/>
  </si>
  <si>
    <t>再生中の動画ファイルの動画の撮影日時を表示する。</t>
  </si>
  <si>
    <t>動画送信</t>
  </si>
  <si>
    <t>選択された動画ファイル。</t>
    <rPh sb="0" eb="2">
      <t>センタク</t>
    </rPh>
    <rPh sb="5" eb="7">
      <t>ドウガ</t>
    </rPh>
    <phoneticPr fontId="4"/>
  </si>
  <si>
    <t>選択された患者情報。</t>
    <rPh sb="0" eb="2">
      <t>センタク</t>
    </rPh>
    <rPh sb="5" eb="7">
      <t>カンジャ</t>
    </rPh>
    <rPh sb="7" eb="9">
      <t>ジョウホウ</t>
    </rPh>
    <phoneticPr fontId="4"/>
  </si>
  <si>
    <t>動画の撮影日、修正可能。</t>
    <rPh sb="0" eb="2">
      <t>ドウガ</t>
    </rPh>
    <rPh sb="3" eb="5">
      <t>サツエイ</t>
    </rPh>
    <rPh sb="5" eb="6">
      <t>ビ</t>
    </rPh>
    <rPh sb="7" eb="9">
      <t>シュウセイ</t>
    </rPh>
    <rPh sb="9" eb="11">
      <t>カノウ</t>
    </rPh>
    <phoneticPr fontId="4"/>
  </si>
  <si>
    <t>送信中の処理状況を表示する。</t>
    <rPh sb="0" eb="2">
      <t>ソウシン</t>
    </rPh>
    <rPh sb="2" eb="3">
      <t>チュウ</t>
    </rPh>
    <rPh sb="4" eb="6">
      <t>ショリ</t>
    </rPh>
    <rPh sb="6" eb="8">
      <t>ジョウキョウ</t>
    </rPh>
    <rPh sb="9" eb="11">
      <t>ヒョウジ</t>
    </rPh>
    <phoneticPr fontId="4"/>
  </si>
  <si>
    <t>インストール</t>
  </si>
  <si>
    <t>動画管理システムダウンロード用ページの内容</t>
    <rPh sb="14" eb="15">
      <t>ヨウ</t>
    </rPh>
    <rPh sb="19" eb="21">
      <t>ナイヨウ</t>
    </rPh>
    <phoneticPr fontId="4"/>
  </si>
  <si>
    <t>JAVAフォレーム作成</t>
    <phoneticPr fontId="4"/>
  </si>
  <si>
    <t>C#のWEBサービス環境構築</t>
    <phoneticPr fontId="4"/>
  </si>
  <si>
    <t>WEBサービスのWSDL作成</t>
    <phoneticPr fontId="4"/>
  </si>
  <si>
    <t>⑤．</t>
    <phoneticPr fontId="4"/>
  </si>
  <si>
    <t>送信中の動画ファイルを中止させる。</t>
    <phoneticPr fontId="4"/>
  </si>
  <si>
    <t>送信済の動画ファイルを削除する。</t>
    <phoneticPr fontId="4"/>
  </si>
  <si>
    <t>⑧．</t>
    <phoneticPr fontId="4"/>
  </si>
  <si>
    <t>送信中の進捗状況を表示する。</t>
    <phoneticPr fontId="4"/>
  </si>
  <si>
    <t>②．</t>
    <phoneticPr fontId="4"/>
  </si>
  <si>
    <t>④．</t>
    <phoneticPr fontId="4"/>
  </si>
  <si>
    <t>⑤．</t>
    <phoneticPr fontId="4"/>
  </si>
  <si>
    <t>操作マニュアル</t>
    <rPh sb="0" eb="2">
      <t>ソウサ</t>
    </rPh>
    <phoneticPr fontId="4"/>
  </si>
  <si>
    <t>NO</t>
    <phoneticPr fontId="4"/>
  </si>
  <si>
    <t>作業内容</t>
    <rPh sb="0" eb="2">
      <t>サギョウ</t>
    </rPh>
    <rPh sb="2" eb="4">
      <t>ナイヨウ</t>
    </rPh>
    <phoneticPr fontId="4"/>
  </si>
  <si>
    <t>分類</t>
    <rPh sb="0" eb="2">
      <t>ブンルイ</t>
    </rPh>
    <phoneticPr fontId="4"/>
  </si>
  <si>
    <t>項目</t>
    <rPh sb="0" eb="2">
      <t>コウモク</t>
    </rPh>
    <phoneticPr fontId="4"/>
  </si>
  <si>
    <t>作業工数（H）</t>
    <rPh sb="0" eb="2">
      <t>サギョウ</t>
    </rPh>
    <rPh sb="2" eb="4">
      <t>コウスウ</t>
    </rPh>
    <phoneticPr fontId="4"/>
  </si>
  <si>
    <t>製造</t>
    <rPh sb="0" eb="2">
      <t>セイゾウ</t>
    </rPh>
    <phoneticPr fontId="4"/>
  </si>
  <si>
    <t>システム環境</t>
    <rPh sb="4" eb="6">
      <t>カンキョウ</t>
    </rPh>
    <phoneticPr fontId="4"/>
  </si>
  <si>
    <t>起動画面</t>
  </si>
  <si>
    <t>起動画面</t>
    <rPh sb="0" eb="2">
      <t>キドウ</t>
    </rPh>
    <rPh sb="2" eb="4">
      <t>ガメン</t>
    </rPh>
    <phoneticPr fontId="4"/>
  </si>
  <si>
    <t>プロキシー認証</t>
    <rPh sb="5" eb="7">
      <t>ニンショウ</t>
    </rPh>
    <phoneticPr fontId="4"/>
  </si>
  <si>
    <t>ログイン認証</t>
    <rPh sb="4" eb="6">
      <t>ニンショウ</t>
    </rPh>
    <phoneticPr fontId="4"/>
  </si>
  <si>
    <t>マックPC用インストールパケージ</t>
    <rPh sb="5" eb="6">
      <t>ヨウ</t>
    </rPh>
    <phoneticPr fontId="4"/>
  </si>
  <si>
    <t>WindowPC用インストールパケージ</t>
    <rPh sb="8" eb="9">
      <t>ヨウ</t>
    </rPh>
    <phoneticPr fontId="4"/>
  </si>
  <si>
    <t>単体テスト</t>
    <rPh sb="0" eb="2">
      <t>タンタイ</t>
    </rPh>
    <phoneticPr fontId="4"/>
  </si>
  <si>
    <t>結合テスト</t>
    <rPh sb="0" eb="2">
      <t>ケツゴウ</t>
    </rPh>
    <phoneticPr fontId="4"/>
  </si>
  <si>
    <t>動画一覧で動画ファイルを選択するの切り替わる。</t>
    <phoneticPr fontId="4"/>
  </si>
  <si>
    <t>成果物</t>
    <rPh sb="0" eb="2">
      <t>セイカ</t>
    </rPh>
    <rPh sb="2" eb="3">
      <t>ブツ</t>
    </rPh>
    <phoneticPr fontId="4"/>
  </si>
  <si>
    <t>インストールマニュアル</t>
    <phoneticPr fontId="4"/>
  </si>
  <si>
    <t>WEBページ</t>
    <phoneticPr fontId="4"/>
  </si>
  <si>
    <t>テスト仕様書作成</t>
    <rPh sb="3" eb="5">
      <t>シヨウ</t>
    </rPh>
    <rPh sb="5" eb="6">
      <t>ショ</t>
    </rPh>
    <rPh sb="6" eb="8">
      <t>サクセイ</t>
    </rPh>
    <phoneticPr fontId="4"/>
  </si>
  <si>
    <t>テスト仕様書レビュー</t>
    <phoneticPr fontId="4"/>
  </si>
  <si>
    <t>WinPC(64Bite)テスト</t>
    <phoneticPr fontId="4"/>
  </si>
  <si>
    <t>単体テスト仕様書</t>
    <phoneticPr fontId="4"/>
  </si>
  <si>
    <t>単体テスト結果</t>
    <rPh sb="5" eb="7">
      <t>ケッカ</t>
    </rPh>
    <phoneticPr fontId="4"/>
  </si>
  <si>
    <t>MacPC(64Bite)テスト</t>
    <phoneticPr fontId="4"/>
  </si>
  <si>
    <t>WinPC(32Bite)テスト</t>
    <phoneticPr fontId="4"/>
  </si>
  <si>
    <t>結合テスト仕様書</t>
    <rPh sb="0" eb="2">
      <t>ケツゴウ</t>
    </rPh>
    <phoneticPr fontId="4"/>
  </si>
  <si>
    <t>結合テスト結果</t>
    <rPh sb="0" eb="2">
      <t>ケツゴウ</t>
    </rPh>
    <phoneticPr fontId="4"/>
  </si>
  <si>
    <t>JAVA、C#ソース
JAVADOC</t>
    <phoneticPr fontId="4"/>
  </si>
  <si>
    <t>動画フォルダ選択画面</t>
    <phoneticPr fontId="4"/>
  </si>
  <si>
    <t>動画ファイル一覧に表示する</t>
    <rPh sb="0" eb="2">
      <t>ドウガ</t>
    </rPh>
    <rPh sb="6" eb="8">
      <t>イチラン</t>
    </rPh>
    <rPh sb="9" eb="11">
      <t>ヒョウジ</t>
    </rPh>
    <phoneticPr fontId="4"/>
  </si>
  <si>
    <t>「状況」、「ファイル名称」、「最新撮影日」昇順/降順でソートする</t>
    <rPh sb="1" eb="3">
      <t>ジョウキョウ</t>
    </rPh>
    <rPh sb="10" eb="12">
      <t>メイショウ</t>
    </rPh>
    <rPh sb="15" eb="17">
      <t>サイシン</t>
    </rPh>
    <rPh sb="17" eb="19">
      <t>サツエイ</t>
    </rPh>
    <rPh sb="19" eb="20">
      <t>ビ</t>
    </rPh>
    <rPh sb="21" eb="23">
      <t>ショウジュン</t>
    </rPh>
    <rPh sb="24" eb="26">
      <t>コウジュン</t>
    </rPh>
    <phoneticPr fontId="4"/>
  </si>
  <si>
    <t>患者名入力、検索部品</t>
    <rPh sb="0" eb="2">
      <t>カンジャ</t>
    </rPh>
    <rPh sb="2" eb="3">
      <t>メイ</t>
    </rPh>
    <rPh sb="3" eb="5">
      <t>ニュウリョク</t>
    </rPh>
    <rPh sb="6" eb="8">
      <t>ケンサク</t>
    </rPh>
    <rPh sb="8" eb="10">
      <t>ブヒン</t>
    </rPh>
    <phoneticPr fontId="4"/>
  </si>
  <si>
    <t>WEBサービス経由して患者名を含むの患者リストを取得する。</t>
    <rPh sb="7" eb="9">
      <t>ケイユウ</t>
    </rPh>
    <rPh sb="11" eb="13">
      <t>カンジャ</t>
    </rPh>
    <rPh sb="13" eb="14">
      <t>メイ</t>
    </rPh>
    <rPh sb="15" eb="16">
      <t>フク</t>
    </rPh>
    <rPh sb="18" eb="20">
      <t>カンジャ</t>
    </rPh>
    <rPh sb="24" eb="26">
      <t>シュトク</t>
    </rPh>
    <phoneticPr fontId="4"/>
  </si>
  <si>
    <t>リストを画面に表示する。</t>
    <rPh sb="4" eb="6">
      <t>ガメン</t>
    </rPh>
    <rPh sb="7" eb="9">
      <t>ヒョウジ</t>
    </rPh>
    <phoneticPr fontId="4"/>
  </si>
  <si>
    <t>「患者名」、「生年月日」、「患者番号」昇順/降順でソートする</t>
    <rPh sb="1" eb="3">
      <t>カンジャ</t>
    </rPh>
    <rPh sb="3" eb="4">
      <t>メイ</t>
    </rPh>
    <rPh sb="7" eb="11">
      <t>セイネンガッピ</t>
    </rPh>
    <rPh sb="14" eb="16">
      <t>カンジャ</t>
    </rPh>
    <rPh sb="16" eb="18">
      <t>バンゴウ</t>
    </rPh>
    <rPh sb="19" eb="21">
      <t>ショウジュン</t>
    </rPh>
    <rPh sb="22" eb="24">
      <t>コウジュン</t>
    </rPh>
    <phoneticPr fontId="4"/>
  </si>
  <si>
    <t>インストール</t>
    <phoneticPr fontId="4"/>
  </si>
  <si>
    <t>WEBサービスの正常/異常稼働</t>
    <rPh sb="8" eb="10">
      <t>セイジョウ</t>
    </rPh>
    <rPh sb="11" eb="13">
      <t>イジョウ</t>
    </rPh>
    <rPh sb="13" eb="15">
      <t>カドウ</t>
    </rPh>
    <phoneticPr fontId="4"/>
  </si>
  <si>
    <t>クライアントの正常/異常稼働</t>
    <phoneticPr fontId="4"/>
  </si>
  <si>
    <t>動画再生画面</t>
    <phoneticPr fontId="4"/>
  </si>
  <si>
    <t>マニュアル</t>
    <phoneticPr fontId="4"/>
  </si>
  <si>
    <t>単体テスト仕様書</t>
    <phoneticPr fontId="4"/>
  </si>
  <si>
    <t>単体テスト結果</t>
    <phoneticPr fontId="4"/>
  </si>
  <si>
    <t>結合テスト仕様書</t>
    <phoneticPr fontId="4"/>
  </si>
  <si>
    <t>結合テスト結果</t>
    <phoneticPr fontId="4"/>
  </si>
  <si>
    <t>クライアント設定</t>
    <rPh sb="6" eb="8">
      <t>セッテイ</t>
    </rPh>
    <phoneticPr fontId="4"/>
  </si>
  <si>
    <t>動画ファイルの送信パフォーマンス</t>
    <rPh sb="7" eb="9">
      <t>ソウシン</t>
    </rPh>
    <phoneticPr fontId="4"/>
  </si>
  <si>
    <t>動画ファイルの選択、一覧表示</t>
    <rPh sb="7" eb="9">
      <t>センタク</t>
    </rPh>
    <rPh sb="10" eb="12">
      <t>イチラン</t>
    </rPh>
    <rPh sb="12" eb="14">
      <t>ヒョウジ</t>
    </rPh>
    <phoneticPr fontId="4"/>
  </si>
  <si>
    <t>患者名入力、検索、一覧表示</t>
    <rPh sb="0" eb="2">
      <t>カンジャ</t>
    </rPh>
    <rPh sb="2" eb="3">
      <t>メイ</t>
    </rPh>
    <rPh sb="3" eb="5">
      <t>ニュウリョク</t>
    </rPh>
    <rPh sb="6" eb="8">
      <t>ケンサク</t>
    </rPh>
    <rPh sb="9" eb="11">
      <t>イチラン</t>
    </rPh>
    <rPh sb="11" eb="13">
      <t>ヒョウジ</t>
    </rPh>
    <phoneticPr fontId="4"/>
  </si>
  <si>
    <t>動画ファイルサムネイル表示、再生</t>
    <rPh sb="0" eb="2">
      <t>ドウガ</t>
    </rPh>
    <rPh sb="11" eb="13">
      <t>ヒョウジ</t>
    </rPh>
    <rPh sb="14" eb="16">
      <t>サイセイ</t>
    </rPh>
    <phoneticPr fontId="4"/>
  </si>
  <si>
    <t>動画一覧で選択された動画ファイルを再生。</t>
    <rPh sb="0" eb="2">
      <t>ドウガ</t>
    </rPh>
    <rPh sb="2" eb="4">
      <t>イチラン</t>
    </rPh>
    <rPh sb="5" eb="7">
      <t>センタク</t>
    </rPh>
    <rPh sb="10" eb="12">
      <t>ドウガ</t>
    </rPh>
    <rPh sb="17" eb="19">
      <t>サイセイ</t>
    </rPh>
    <phoneticPr fontId="4"/>
  </si>
  <si>
    <t>動画送信」ボタンが活性化、その他場合、非活性。</t>
    <rPh sb="0" eb="2">
      <t>ドウガ</t>
    </rPh>
    <rPh sb="2" eb="4">
      <t>ソウシン</t>
    </rPh>
    <rPh sb="9" eb="12">
      <t>カッセイカ</t>
    </rPh>
    <rPh sb="15" eb="16">
      <t>タ</t>
    </rPh>
    <rPh sb="16" eb="18">
      <t>バアイ</t>
    </rPh>
    <rPh sb="19" eb="20">
      <t>ヒ</t>
    </rPh>
    <rPh sb="20" eb="22">
      <t>カッセイ</t>
    </rPh>
    <phoneticPr fontId="4"/>
  </si>
  <si>
    <t>シュートカード</t>
    <phoneticPr fontId="4"/>
  </si>
  <si>
    <t>動画管理のメイン画面初期化</t>
    <rPh sb="0" eb="2">
      <t>ドウガ</t>
    </rPh>
    <rPh sb="2" eb="4">
      <t>カンリ</t>
    </rPh>
    <rPh sb="8" eb="10">
      <t>ガメン</t>
    </rPh>
    <rPh sb="10" eb="13">
      <t>ショキカ</t>
    </rPh>
    <phoneticPr fontId="4"/>
  </si>
  <si>
    <t>左右画面領域を拡大のため、左右にドラッグ＆ドロップ</t>
    <rPh sb="0" eb="2">
      <t>サユウ</t>
    </rPh>
    <rPh sb="2" eb="4">
      <t>ガメン</t>
    </rPh>
    <rPh sb="4" eb="6">
      <t>リョウイキ</t>
    </rPh>
    <rPh sb="7" eb="9">
      <t>カクダイ</t>
    </rPh>
    <rPh sb="13" eb="15">
      <t>サユウ</t>
    </rPh>
    <phoneticPr fontId="4"/>
  </si>
  <si>
    <t>システム設定情報画面</t>
    <rPh sb="4" eb="6">
      <t>セッテイ</t>
    </rPh>
    <rPh sb="6" eb="8">
      <t>ジョウホウ</t>
    </rPh>
    <rPh sb="8" eb="10">
      <t>ガメン</t>
    </rPh>
    <phoneticPr fontId="4"/>
  </si>
  <si>
    <t>「フォルダ選択」ボタン</t>
    <rPh sb="5" eb="7">
      <t>センタク</t>
    </rPh>
    <phoneticPr fontId="4"/>
  </si>
  <si>
    <t>再生、一時停止、先頭に戻る</t>
    <phoneticPr fontId="4"/>
  </si>
  <si>
    <t>インストールパケージ</t>
    <phoneticPr fontId="4"/>
  </si>
  <si>
    <t xml:space="preserve">JAVA、C#ソース
JAVADOC、
マニュアル、
インストールパケージ
</t>
    <phoneticPr fontId="4"/>
  </si>
  <si>
    <t>小計（H)</t>
    <rPh sb="0" eb="2">
      <t>ショウケイ</t>
    </rPh>
    <phoneticPr fontId="4"/>
  </si>
  <si>
    <t>合計</t>
    <rPh sb="0" eb="2">
      <t>ゴウケイ</t>
    </rPh>
    <phoneticPr fontId="4"/>
  </si>
  <si>
    <t>単体</t>
    <rPh sb="0" eb="2">
      <t>タンタイ</t>
    </rPh>
    <phoneticPr fontId="4"/>
  </si>
  <si>
    <t>結合</t>
    <rPh sb="0" eb="2">
      <t>ケツゴウ</t>
    </rPh>
    <phoneticPr fontId="4"/>
  </si>
  <si>
    <t>成果物</t>
    <rPh sb="0" eb="3">
      <t>セイカブツ</t>
    </rPh>
    <phoneticPr fontId="4"/>
  </si>
  <si>
    <t>JAVAソース</t>
    <phoneticPr fontId="4"/>
  </si>
  <si>
    <t>C#ソース</t>
    <phoneticPr fontId="4"/>
  </si>
  <si>
    <t>インストールパケージ</t>
    <phoneticPr fontId="4"/>
  </si>
  <si>
    <t>単位</t>
    <rPh sb="0" eb="2">
      <t>タンイ</t>
    </rPh>
    <phoneticPr fontId="4"/>
  </si>
  <si>
    <t>テスト仕様書</t>
    <rPh sb="3" eb="5">
      <t>シヨウ</t>
    </rPh>
    <rPh sb="5" eb="6">
      <t>ショ</t>
    </rPh>
    <phoneticPr fontId="4"/>
  </si>
  <si>
    <t>テスト結果</t>
    <rPh sb="3" eb="5">
      <t>ケッカ</t>
    </rPh>
    <phoneticPr fontId="4"/>
  </si>
  <si>
    <t>バグFIX</t>
    <phoneticPr fontId="4"/>
  </si>
  <si>
    <t>K（Step)</t>
    <phoneticPr fontId="4"/>
  </si>
  <si>
    <t>JAVADOC（HTML)</t>
    <phoneticPr fontId="4"/>
  </si>
  <si>
    <t>ページ</t>
    <phoneticPr fontId="4"/>
  </si>
  <si>
    <t>ケース</t>
    <phoneticPr fontId="4"/>
  </si>
  <si>
    <t>個</t>
    <rPh sb="0" eb="1">
      <t>コ</t>
    </rPh>
    <phoneticPr fontId="4"/>
  </si>
  <si>
    <t>予想規模</t>
    <rPh sb="0" eb="2">
      <t>ヨソウ</t>
    </rPh>
    <rPh sb="2" eb="4">
      <t>キボ</t>
    </rPh>
    <phoneticPr fontId="4"/>
  </si>
  <si>
    <t>工程</t>
    <rPh sb="0" eb="2">
      <t>コウテイ</t>
    </rPh>
    <phoneticPr fontId="4"/>
  </si>
  <si>
    <t>400～500</t>
    <phoneticPr fontId="4"/>
  </si>
  <si>
    <t>20～30</t>
    <phoneticPr fontId="4"/>
  </si>
  <si>
    <t>100～200</t>
    <phoneticPr fontId="4"/>
  </si>
  <si>
    <t>10～15</t>
    <phoneticPr fontId="4"/>
  </si>
  <si>
    <t>１．開発工程</t>
    <rPh sb="2" eb="4">
      <t>カイハツ</t>
    </rPh>
    <rPh sb="4" eb="6">
      <t>コウテイ</t>
    </rPh>
    <phoneticPr fontId="4"/>
  </si>
  <si>
    <t>エンドユーザのWinPC(32Bite）早めに入手して検証/対策する。手遅れすると開発工数倍増える可能性ある。</t>
    <rPh sb="20" eb="21">
      <t>ハヤ</t>
    </rPh>
    <rPh sb="23" eb="25">
      <t>ニュウシュ</t>
    </rPh>
    <rPh sb="27" eb="29">
      <t>ケンショウ</t>
    </rPh>
    <rPh sb="30" eb="32">
      <t>タイサク</t>
    </rPh>
    <rPh sb="35" eb="37">
      <t>テオク</t>
    </rPh>
    <rPh sb="41" eb="43">
      <t>カイハツ</t>
    </rPh>
    <rPh sb="43" eb="45">
      <t>コウスウ</t>
    </rPh>
    <rPh sb="45" eb="46">
      <t>バイ</t>
    </rPh>
    <rPh sb="46" eb="47">
      <t>フ</t>
    </rPh>
    <rPh sb="49" eb="51">
      <t>カノウ</t>
    </rPh>
    <rPh sb="51" eb="52">
      <t>セイ</t>
    </rPh>
    <phoneticPr fontId="4"/>
  </si>
  <si>
    <t>WinPC/MacPC（64Bite）で開発ベースと見積ですが、WinPC(32Bite）も対応すると、二つバージョン開発の可能性もある</t>
    <rPh sb="20" eb="22">
      <t>カイハツ</t>
    </rPh>
    <rPh sb="26" eb="28">
      <t>ミツモリ</t>
    </rPh>
    <rPh sb="46" eb="48">
      <t>タイオウ</t>
    </rPh>
    <rPh sb="52" eb="53">
      <t>フタ</t>
    </rPh>
    <rPh sb="59" eb="61">
      <t>カイハツ</t>
    </rPh>
    <rPh sb="62" eb="64">
      <t>カノウ</t>
    </rPh>
    <rPh sb="64" eb="65">
      <t>セイ</t>
    </rPh>
    <phoneticPr fontId="4"/>
  </si>
  <si>
    <t>①</t>
    <phoneticPr fontId="4"/>
  </si>
  <si>
    <t>②</t>
    <phoneticPr fontId="4"/>
  </si>
  <si>
    <t>MacPCは10月中旬から入手する。</t>
    <rPh sb="8" eb="9">
      <t>ゲツ</t>
    </rPh>
    <rPh sb="9" eb="11">
      <t>チュウジュン</t>
    </rPh>
    <rPh sb="13" eb="15">
      <t>ニュウシュ</t>
    </rPh>
    <phoneticPr fontId="4"/>
  </si>
  <si>
    <t>③</t>
    <phoneticPr fontId="4"/>
  </si>
  <si>
    <t>２．テスト工程</t>
    <rPh sb="5" eb="7">
      <t>コウテイ</t>
    </rPh>
    <phoneticPr fontId="4"/>
  </si>
  <si>
    <t>20～40</t>
    <phoneticPr fontId="4"/>
  </si>
  <si>
    <t>50～75</t>
    <phoneticPr fontId="4"/>
  </si>
  <si>
    <t>　　　①</t>
    <phoneticPr fontId="4"/>
  </si>
  <si>
    <t>お互い待ち時間を減らすように。</t>
    <rPh sb="1" eb="2">
      <t>タガ</t>
    </rPh>
    <rPh sb="3" eb="4">
      <t>マ</t>
    </rPh>
    <rPh sb="5" eb="7">
      <t>ジカン</t>
    </rPh>
    <rPh sb="8" eb="9">
      <t>ヘ</t>
    </rPh>
    <phoneticPr fontId="4"/>
  </si>
  <si>
    <t>ソース連携の部分、お互い先に着手ように。</t>
    <rPh sb="3" eb="5">
      <t>レンケイ</t>
    </rPh>
    <rPh sb="6" eb="8">
      <t>ブブン</t>
    </rPh>
    <rPh sb="10" eb="11">
      <t>タガ</t>
    </rPh>
    <rPh sb="12" eb="13">
      <t>サキ</t>
    </rPh>
    <rPh sb="14" eb="16">
      <t>チャクシュ</t>
    </rPh>
    <phoneticPr fontId="4"/>
  </si>
  <si>
    <t>発生の場合、別途の仕事調整。</t>
    <rPh sb="0" eb="2">
      <t>ハッセイ</t>
    </rPh>
    <rPh sb="3" eb="5">
      <t>バアイ</t>
    </rPh>
    <rPh sb="6" eb="8">
      <t>ベット</t>
    </rPh>
    <rPh sb="9" eb="11">
      <t>シゴト</t>
    </rPh>
    <rPh sb="11" eb="13">
      <t>チョウセイ</t>
    </rPh>
    <phoneticPr fontId="4"/>
  </si>
  <si>
    <t>動画管理モジュールの開発スケジュール</t>
    <rPh sb="0" eb="2">
      <t>ドウガ</t>
    </rPh>
    <rPh sb="2" eb="4">
      <t>カンリ</t>
    </rPh>
    <rPh sb="10" eb="12">
      <t>カイハツ</t>
    </rPh>
    <phoneticPr fontId="4"/>
  </si>
  <si>
    <t>10月</t>
    <rPh sb="2" eb="3">
      <t>ゲツ</t>
    </rPh>
    <phoneticPr fontId="4"/>
  </si>
  <si>
    <t>11月</t>
    <rPh sb="2" eb="3">
      <t>ゲツ</t>
    </rPh>
    <phoneticPr fontId="4"/>
  </si>
  <si>
    <t>12月</t>
    <rPh sb="2" eb="3">
      <t>ゲツ</t>
    </rPh>
    <phoneticPr fontId="4"/>
  </si>
  <si>
    <t>MacPC(64Bite)対応</t>
    <rPh sb="13" eb="15">
      <t>タイオウ</t>
    </rPh>
    <phoneticPr fontId="4"/>
  </si>
  <si>
    <t>WinPC(32Bite)対応</t>
    <rPh sb="13" eb="15">
      <t>タイオウ</t>
    </rPh>
    <phoneticPr fontId="4"/>
  </si>
  <si>
    <t>検収</t>
    <rPh sb="0" eb="2">
      <t>ケンシュウ</t>
    </rPh>
    <phoneticPr fontId="4"/>
  </si>
  <si>
    <t>目安の数字</t>
    <rPh sb="0" eb="2">
      <t>メヤス</t>
    </rPh>
    <rPh sb="3" eb="5">
      <t>スウジ</t>
    </rPh>
    <phoneticPr fontId="4"/>
  </si>
  <si>
    <t>2020/11/5修正前</t>
    <rPh sb="9" eb="11">
      <t>シュウセイ</t>
    </rPh>
    <rPh sb="11" eb="12">
      <t>マエ</t>
    </rPh>
    <phoneticPr fontId="4"/>
  </si>
  <si>
    <t>11/5修正後</t>
    <rPh sb="4" eb="6">
      <t>シュウセイ</t>
    </rPh>
    <rPh sb="6" eb="7">
      <t>ゴ</t>
    </rPh>
    <phoneticPr fontId="4"/>
  </si>
  <si>
    <t>10/16画面レビュー対応</t>
    <rPh sb="5" eb="7">
      <t>ガメン</t>
    </rPh>
    <rPh sb="11" eb="13">
      <t>タイオウ</t>
    </rPh>
    <phoneticPr fontId="4"/>
  </si>
  <si>
    <t>１月</t>
    <rPh sb="1" eb="2">
      <t>ゲツ</t>
    </rPh>
    <phoneticPr fontId="4"/>
  </si>
  <si>
    <t>静止画仕様書</t>
    <rPh sb="0" eb="3">
      <t>セイシガ</t>
    </rPh>
    <rPh sb="3" eb="6">
      <t>シヨウショ</t>
    </rPh>
    <phoneticPr fontId="4"/>
  </si>
  <si>
    <t>方針検討</t>
    <rPh sb="0" eb="2">
      <t>ホウシン</t>
    </rPh>
    <rPh sb="2" eb="4">
      <t>ケントウ</t>
    </rPh>
    <phoneticPr fontId="4"/>
  </si>
  <si>
    <t>画面構造</t>
    <phoneticPr fontId="4"/>
  </si>
  <si>
    <t>送信ロジック</t>
  </si>
  <si>
    <t>送信ロジック</t>
    <rPh sb="0" eb="2">
      <t>ソウシン</t>
    </rPh>
    <phoneticPr fontId="4"/>
  </si>
  <si>
    <t>既存データの利用</t>
    <rPh sb="0" eb="2">
      <t>キソン</t>
    </rPh>
    <rPh sb="6" eb="8">
      <t>リヨウ</t>
    </rPh>
    <phoneticPr fontId="4"/>
  </si>
  <si>
    <t>配信・運用</t>
    <rPh sb="0" eb="2">
      <t>ハイシン</t>
    </rPh>
    <rPh sb="3" eb="5">
      <t>ウンヨウ</t>
    </rPh>
    <phoneticPr fontId="4"/>
  </si>
  <si>
    <t>静止画製造</t>
    <rPh sb="0" eb="3">
      <t>セイシガ</t>
    </rPh>
    <rPh sb="3" eb="5">
      <t>セイゾウ</t>
    </rPh>
    <phoneticPr fontId="4"/>
  </si>
  <si>
    <t>10/16画面対応</t>
    <rPh sb="5" eb="7">
      <t>ガメン</t>
    </rPh>
    <rPh sb="7" eb="9">
      <t>タイオウ</t>
    </rPh>
    <phoneticPr fontId="4"/>
  </si>
  <si>
    <t>製造</t>
    <phoneticPr fontId="4"/>
  </si>
  <si>
    <t>静止画対応予定</t>
    <rPh sb="0" eb="3">
      <t>セイシガ</t>
    </rPh>
    <rPh sb="3" eb="5">
      <t>タイオウ</t>
    </rPh>
    <rPh sb="5" eb="7">
      <t>ヨテイ</t>
    </rPh>
    <phoneticPr fontId="4"/>
  </si>
  <si>
    <t>仕様</t>
    <rPh sb="0" eb="2">
      <t>シヨウ</t>
    </rPh>
    <phoneticPr fontId="4"/>
  </si>
  <si>
    <t>結合</t>
    <phoneticPr fontId="4"/>
  </si>
  <si>
    <t>静止画対応予定</t>
  </si>
  <si>
    <t>設計</t>
    <rPh sb="0" eb="2">
      <t>セッケイ</t>
    </rPh>
    <phoneticPr fontId="4"/>
  </si>
  <si>
    <t>静止画設計書</t>
    <rPh sb="0" eb="3">
      <t>セイシガ</t>
    </rPh>
    <rPh sb="3" eb="5">
      <t>セッケイ</t>
    </rPh>
    <rPh sb="5" eb="6">
      <t>ショ</t>
    </rPh>
    <phoneticPr fontId="4"/>
  </si>
  <si>
    <t>既存ソース理解</t>
    <rPh sb="0" eb="2">
      <t>キソン</t>
    </rPh>
    <rPh sb="5" eb="7">
      <t>リカイ</t>
    </rPh>
    <phoneticPr fontId="4"/>
  </si>
  <si>
    <t>JAVAフォレーム改善案</t>
    <rPh sb="9" eb="11">
      <t>カイゼン</t>
    </rPh>
    <rPh sb="11" eb="12">
      <t>アン</t>
    </rPh>
    <phoneticPr fontId="4"/>
  </si>
  <si>
    <t>動画フォルダ選択画面</t>
  </si>
  <si>
    <t>動画ファイル一覧に表示する</t>
    <phoneticPr fontId="4"/>
  </si>
  <si>
    <t>送信履歴の関連修正</t>
    <rPh sb="0" eb="2">
      <t>ソウシン</t>
    </rPh>
    <rPh sb="2" eb="4">
      <t>リレキ</t>
    </rPh>
    <rPh sb="5" eb="7">
      <t>カンレン</t>
    </rPh>
    <rPh sb="7" eb="9">
      <t>シュウセイ</t>
    </rPh>
    <phoneticPr fontId="4"/>
  </si>
  <si>
    <t>静止画再生画面の切り替える</t>
    <rPh sb="0" eb="3">
      <t>セイシガ</t>
    </rPh>
    <rPh sb="3" eb="5">
      <t>サイセイ</t>
    </rPh>
    <rPh sb="5" eb="7">
      <t>ガメン</t>
    </rPh>
    <rPh sb="8" eb="9">
      <t>キ</t>
    </rPh>
    <rPh sb="10" eb="11">
      <t>カ</t>
    </rPh>
    <phoneticPr fontId="4"/>
  </si>
  <si>
    <t>送信処理</t>
  </si>
  <si>
    <t>送信処理</t>
    <rPh sb="0" eb="2">
      <t>ソウシン</t>
    </rPh>
    <rPh sb="2" eb="4">
      <t>ショリ</t>
    </rPh>
    <phoneticPr fontId="4"/>
  </si>
  <si>
    <t>削除処理</t>
    <rPh sb="0" eb="2">
      <t>サクジョ</t>
    </rPh>
    <rPh sb="2" eb="4">
      <t>ショリ</t>
    </rPh>
    <phoneticPr fontId="4"/>
  </si>
  <si>
    <t>サーバー側</t>
    <rPh sb="4" eb="5">
      <t>カワ</t>
    </rPh>
    <phoneticPr fontId="4"/>
  </si>
  <si>
    <t>利用した容量計算</t>
  </si>
  <si>
    <t>利用した容量計算</t>
    <rPh sb="0" eb="2">
      <t>リヨウ</t>
    </rPh>
    <rPh sb="4" eb="6">
      <t>ヨウリョウ</t>
    </rPh>
    <rPh sb="6" eb="8">
      <t>ケイサン</t>
    </rPh>
    <phoneticPr fontId="4"/>
  </si>
  <si>
    <t>エラー処理</t>
  </si>
  <si>
    <t>エラー処理</t>
    <rPh sb="3" eb="5">
      <t>ショリ</t>
    </rPh>
    <phoneticPr fontId="4"/>
  </si>
  <si>
    <t>静止画送信</t>
    <rPh sb="0" eb="2">
      <t>セイシ</t>
    </rPh>
    <rPh sb="2" eb="3">
      <t>ガ</t>
    </rPh>
    <phoneticPr fontId="4"/>
  </si>
  <si>
    <t>動画/静止画の画面を切り替える制御</t>
    <rPh sb="0" eb="2">
      <t>ドウガ</t>
    </rPh>
    <rPh sb="3" eb="6">
      <t>セイシガ</t>
    </rPh>
    <rPh sb="7" eb="9">
      <t>ガメン</t>
    </rPh>
    <rPh sb="10" eb="11">
      <t>キ</t>
    </rPh>
    <rPh sb="12" eb="13">
      <t>カ</t>
    </rPh>
    <rPh sb="15" eb="17">
      <t>セイギョ</t>
    </rPh>
    <phoneticPr fontId="4"/>
  </si>
  <si>
    <t>静止画の一覧で選択された静止画ファイルを表示。</t>
    <rPh sb="0" eb="3">
      <t>セイシガ</t>
    </rPh>
    <rPh sb="4" eb="6">
      <t>イチラン</t>
    </rPh>
    <rPh sb="7" eb="9">
      <t>センタク</t>
    </rPh>
    <rPh sb="12" eb="15">
      <t>セイシガ</t>
    </rPh>
    <rPh sb="20" eb="22">
      <t>ヒョウジ</t>
    </rPh>
    <phoneticPr fontId="4"/>
  </si>
  <si>
    <t>表示中の静止画ファイル名、格納フォルダ、最新撮影日時を表示する</t>
    <rPh sb="0" eb="2">
      <t>ヒョウジ</t>
    </rPh>
    <rPh sb="2" eb="3">
      <t>チュウ</t>
    </rPh>
    <rPh sb="4" eb="7">
      <t>セイシガ</t>
    </rPh>
    <rPh sb="11" eb="12">
      <t>メイ</t>
    </rPh>
    <rPh sb="13" eb="15">
      <t>カクノウ</t>
    </rPh>
    <rPh sb="20" eb="22">
      <t>サイシン</t>
    </rPh>
    <rPh sb="22" eb="24">
      <t>サツエイ</t>
    </rPh>
    <rPh sb="24" eb="26">
      <t>ニチジ</t>
    </rPh>
    <rPh sb="27" eb="29">
      <t>ヒョウジ</t>
    </rPh>
    <phoneticPr fontId="4"/>
  </si>
  <si>
    <t>選択された静止画ファイル。</t>
    <rPh sb="0" eb="2">
      <t>センタク</t>
    </rPh>
    <rPh sb="5" eb="8">
      <t>セイシガ</t>
    </rPh>
    <phoneticPr fontId="4"/>
  </si>
  <si>
    <t>静止画の撮影日、修正可能。</t>
    <rPh sb="0" eb="3">
      <t>セイシガ</t>
    </rPh>
    <rPh sb="4" eb="6">
      <t>サツエイ</t>
    </rPh>
    <rPh sb="6" eb="7">
      <t>ビ</t>
    </rPh>
    <rPh sb="8" eb="10">
      <t>シュウセイ</t>
    </rPh>
    <rPh sb="10" eb="12">
      <t>カノウ</t>
    </rPh>
    <phoneticPr fontId="4"/>
  </si>
  <si>
    <t>静止画の格納</t>
    <rPh sb="0" eb="2">
      <t>セイシ</t>
    </rPh>
    <rPh sb="2" eb="3">
      <t>ガ</t>
    </rPh>
    <rPh sb="4" eb="6">
      <t>カクノウ</t>
    </rPh>
    <phoneticPr fontId="4"/>
  </si>
  <si>
    <t>送信」ボタンが活性化、その他場合、非活性。</t>
    <rPh sb="0" eb="2">
      <t>ソウシン</t>
    </rPh>
    <rPh sb="7" eb="10">
      <t>カッセイカ</t>
    </rPh>
    <rPh sb="13" eb="14">
      <t>タ</t>
    </rPh>
    <rPh sb="14" eb="16">
      <t>バアイ</t>
    </rPh>
    <rPh sb="17" eb="18">
      <t>ヒ</t>
    </rPh>
    <rPh sb="18" eb="20">
      <t>カッセイ</t>
    </rPh>
    <phoneticPr fontId="4"/>
  </si>
  <si>
    <t>静止画ファイルを格納</t>
    <rPh sb="0" eb="3">
      <t>セイシガ</t>
    </rPh>
    <rPh sb="8" eb="10">
      <t>カクノウ</t>
    </rPh>
    <phoneticPr fontId="4"/>
  </si>
  <si>
    <t>DBに静止画ファイルを登録</t>
    <rPh sb="11" eb="13">
      <t>トウロク</t>
    </rPh>
    <phoneticPr fontId="4"/>
  </si>
  <si>
    <t>静止画の削除</t>
    <rPh sb="0" eb="2">
      <t>セイシ</t>
    </rPh>
    <rPh sb="2" eb="3">
      <t>ガ</t>
    </rPh>
    <rPh sb="4" eb="6">
      <t>サクジョ</t>
    </rPh>
    <phoneticPr fontId="4"/>
  </si>
  <si>
    <t>静止画ファイルを削除</t>
    <rPh sb="0" eb="3">
      <t>セイシガ</t>
    </rPh>
    <rPh sb="8" eb="10">
      <t>サクジョ</t>
    </rPh>
    <phoneticPr fontId="4"/>
  </si>
  <si>
    <t>DBに静止画ファイルを削除</t>
    <rPh sb="11" eb="13">
      <t>サクジョ</t>
    </rPh>
    <phoneticPr fontId="4"/>
  </si>
  <si>
    <t>静止画/動画の表示画面切り替え</t>
    <rPh sb="0" eb="3">
      <t>セイシガ</t>
    </rPh>
    <rPh sb="4" eb="6">
      <t>ドウガ</t>
    </rPh>
    <rPh sb="7" eb="9">
      <t>ヒョウジ</t>
    </rPh>
    <rPh sb="9" eb="11">
      <t>ガメン</t>
    </rPh>
    <rPh sb="11" eb="12">
      <t>キ</t>
    </rPh>
    <rPh sb="13" eb="14">
      <t>カ</t>
    </rPh>
    <phoneticPr fontId="4"/>
  </si>
  <si>
    <t>送信処理</t>
    <phoneticPr fontId="4"/>
  </si>
  <si>
    <t>サーバー側の受信処理</t>
    <rPh sb="4" eb="5">
      <t>カワ</t>
    </rPh>
    <rPh sb="6" eb="8">
      <t>ジュシン</t>
    </rPh>
    <rPh sb="8" eb="10">
      <t>ショリ</t>
    </rPh>
    <phoneticPr fontId="4"/>
  </si>
  <si>
    <t>サーバー側の格納処理</t>
    <rPh sb="4" eb="5">
      <t>カワ</t>
    </rPh>
    <rPh sb="6" eb="8">
      <t>カクノウ</t>
    </rPh>
    <rPh sb="8" eb="10">
      <t>ショリ</t>
    </rPh>
    <phoneticPr fontId="4"/>
  </si>
  <si>
    <t>エラー処理</t>
    <phoneticPr fontId="4"/>
  </si>
  <si>
    <t>テスト実施</t>
  </si>
  <si>
    <t>テスト実施</t>
    <rPh sb="3" eb="5">
      <t>ジッシ</t>
    </rPh>
    <phoneticPr fontId="4"/>
  </si>
  <si>
    <t>単体テスト仕様書</t>
  </si>
  <si>
    <t>単体テスト結果</t>
  </si>
  <si>
    <t>対応案整理</t>
    <rPh sb="0" eb="2">
      <t>タイオウ</t>
    </rPh>
    <rPh sb="2" eb="3">
      <t>アン</t>
    </rPh>
    <rPh sb="3" eb="5">
      <t>セイリ</t>
    </rPh>
    <phoneticPr fontId="4"/>
  </si>
  <si>
    <t>対応案整理</t>
    <phoneticPr fontId="4"/>
  </si>
  <si>
    <t>サーバー側</t>
    <phoneticPr fontId="4"/>
  </si>
  <si>
    <t>静止画表示</t>
    <rPh sb="0" eb="3">
      <t>セイシガ</t>
    </rPh>
    <rPh sb="3" eb="5">
      <t>ヒョウジ</t>
    </rPh>
    <phoneticPr fontId="4"/>
  </si>
  <si>
    <t>静止画表示</t>
    <phoneticPr fontId="4"/>
  </si>
  <si>
    <t>静止画送信</t>
    <phoneticPr fontId="4"/>
  </si>
  <si>
    <t>静止画の格納</t>
    <phoneticPr fontId="4"/>
  </si>
  <si>
    <t>静止画の削除</t>
    <phoneticPr fontId="4"/>
  </si>
  <si>
    <t>テスト仕様書作成</t>
    <phoneticPr fontId="4"/>
  </si>
  <si>
    <t>既存機能の影響</t>
    <rPh sb="0" eb="2">
      <t>キソン</t>
    </rPh>
    <rPh sb="2" eb="4">
      <t>キノウ</t>
    </rPh>
    <rPh sb="5" eb="7">
      <t>エイキョウ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</si>
</sst>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;@"/>
  </numFmts>
  <fonts count="15">
    <font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2"/>
      <charset val="128"/>
      <scheme val="minor"/>
    </font>
    <font>
      <sz val="11"/>
      <name val="明朝"/>
      <family val="1"/>
      <charset val="128"/>
    </font>
    <font>
      <sz val="10"/>
      <color theme="1"/>
      <name val="ＭＳ ゴシック"/>
      <family val="3"/>
      <charset val="128"/>
    </font>
    <font>
      <sz val="10"/>
      <color theme="1"/>
      <name val="ＭＳ Ｐゴシック"/>
      <family val="2"/>
      <charset val="128"/>
      <scheme val="minor"/>
    </font>
    <font>
      <sz val="12"/>
      <color theme="0"/>
      <name val="ＭＳ Ｐゴシック"/>
      <family val="2"/>
      <charset val="128"/>
      <scheme val="minor"/>
    </font>
    <font>
      <sz val="12"/>
      <color theme="0"/>
      <name val="ＭＳ Ｐゴシック"/>
      <family val="3"/>
      <charset val="128"/>
      <scheme val="minor"/>
    </font>
    <font>
      <sz val="11"/>
      <color theme="0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12"/>
      <color theme="1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5" fillId="0" borderId="0"/>
  </cellStyleXfs>
  <cellXfs count="344">
    <xf numFmtId="0" fontId="0" fillId="0" borderId="0" xfId="0">
      <alignment vertical="center"/>
    </xf>
    <xf numFmtId="0" fontId="7" fillId="0" borderId="0" xfId="0" applyFont="1">
      <alignment vertical="center"/>
    </xf>
    <xf numFmtId="0" fontId="7" fillId="0" borderId="1" xfId="0" applyFont="1" applyBorder="1">
      <alignment vertical="center"/>
    </xf>
    <xf numFmtId="0" fontId="7" fillId="0" borderId="2" xfId="0" applyFont="1" applyBorder="1">
      <alignment vertical="center"/>
    </xf>
    <xf numFmtId="0" fontId="3" fillId="0" borderId="2" xfId="1" applyFont="1" applyBorder="1" applyAlignment="1"/>
    <xf numFmtId="49" fontId="3" fillId="0" borderId="2" xfId="2" applyNumberFormat="1" applyFont="1" applyFill="1" applyBorder="1" applyAlignment="1">
      <alignment horizontal="left"/>
    </xf>
    <xf numFmtId="176" fontId="3" fillId="0" borderId="2" xfId="1" applyNumberFormat="1" applyFont="1" applyBorder="1" applyAlignment="1"/>
    <xf numFmtId="0" fontId="6" fillId="0" borderId="2" xfId="1" applyFont="1" applyBorder="1" applyAlignment="1"/>
    <xf numFmtId="0" fontId="7" fillId="0" borderId="3" xfId="0" applyFont="1" applyBorder="1">
      <alignment vertical="center"/>
    </xf>
    <xf numFmtId="0" fontId="7" fillId="0" borderId="5" xfId="0" applyFont="1" applyBorder="1">
      <alignment vertical="center"/>
    </xf>
    <xf numFmtId="0" fontId="7" fillId="0" borderId="4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7" xfId="0" applyFont="1" applyBorder="1">
      <alignment vertical="center"/>
    </xf>
    <xf numFmtId="0" fontId="7" fillId="0" borderId="8" xfId="0" applyFont="1" applyBorder="1">
      <alignment vertical="center"/>
    </xf>
    <xf numFmtId="0" fontId="3" fillId="0" borderId="1" xfId="1" applyFont="1" applyBorder="1" applyAlignment="1"/>
    <xf numFmtId="0" fontId="3" fillId="0" borderId="3" xfId="1" applyFont="1" applyBorder="1" applyAlignment="1"/>
    <xf numFmtId="49" fontId="3" fillId="0" borderId="1" xfId="2" applyNumberFormat="1" applyFont="1" applyFill="1" applyBorder="1" applyAlignment="1">
      <alignment horizontal="left"/>
    </xf>
    <xf numFmtId="176" fontId="3" fillId="0" borderId="1" xfId="1" applyNumberFormat="1" applyFont="1" applyBorder="1" applyAlignment="1"/>
    <xf numFmtId="0" fontId="6" fillId="0" borderId="3" xfId="1" applyFont="1" applyBorder="1" applyAlignment="1"/>
    <xf numFmtId="49" fontId="3" fillId="0" borderId="3" xfId="2" applyNumberFormat="1" applyFont="1" applyFill="1" applyBorder="1" applyAlignment="1">
      <alignment horizontal="left"/>
    </xf>
    <xf numFmtId="0" fontId="7" fillId="0" borderId="0" xfId="0" applyFont="1" applyAlignment="1">
      <alignment horizontal="center" vertical="center"/>
    </xf>
    <xf numFmtId="0" fontId="3" fillId="0" borderId="2" xfId="1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0" xfId="0" applyFont="1" applyBorder="1">
      <alignment vertical="center"/>
    </xf>
    <xf numFmtId="0" fontId="8" fillId="2" borderId="9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>
      <alignment vertical="center"/>
    </xf>
    <xf numFmtId="0" fontId="7" fillId="0" borderId="13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8" fillId="2" borderId="25" xfId="0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/>
    </xf>
    <xf numFmtId="0" fontId="9" fillId="2" borderId="27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31" xfId="0" applyBorder="1">
      <alignment vertical="center"/>
    </xf>
    <xf numFmtId="0" fontId="0" fillId="0" borderId="22" xfId="0" applyBorder="1">
      <alignment vertical="center"/>
    </xf>
    <xf numFmtId="0" fontId="1" fillId="2" borderId="33" xfId="0" applyFont="1" applyFill="1" applyBorder="1" applyAlignment="1">
      <alignment horizontal="center" vertical="center"/>
    </xf>
    <xf numFmtId="0" fontId="10" fillId="2" borderId="34" xfId="0" applyFont="1" applyFill="1" applyBorder="1" applyAlignment="1">
      <alignment horizontal="center" vertical="center"/>
    </xf>
    <xf numFmtId="0" fontId="10" fillId="2" borderId="35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41" xfId="0" applyFont="1" applyBorder="1">
      <alignment vertical="center"/>
    </xf>
    <xf numFmtId="0" fontId="11" fillId="0" borderId="42" xfId="0" applyFont="1" applyBorder="1">
      <alignment vertical="center"/>
    </xf>
    <xf numFmtId="0" fontId="11" fillId="0" borderId="43" xfId="0" applyFont="1" applyBorder="1">
      <alignment vertical="center"/>
    </xf>
    <xf numFmtId="0" fontId="11" fillId="0" borderId="52" xfId="0" applyFont="1" applyBorder="1">
      <alignment vertical="center"/>
    </xf>
    <xf numFmtId="0" fontId="11" fillId="0" borderId="0" xfId="0" applyFont="1" applyFill="1">
      <alignment vertical="center"/>
    </xf>
    <xf numFmtId="0" fontId="0" fillId="0" borderId="0" xfId="0" applyFill="1">
      <alignment vertical="center"/>
    </xf>
    <xf numFmtId="0" fontId="13" fillId="0" borderId="54" xfId="0" applyFont="1" applyFill="1" applyBorder="1" applyAlignment="1">
      <alignment horizontal="center" vertical="center"/>
    </xf>
    <xf numFmtId="0" fontId="13" fillId="0" borderId="55" xfId="0" applyFont="1" applyFill="1" applyBorder="1" applyAlignment="1">
      <alignment horizontal="center" vertical="center"/>
    </xf>
    <xf numFmtId="0" fontId="11" fillId="0" borderId="0" xfId="0" applyFont="1" applyBorder="1">
      <alignment vertical="center"/>
    </xf>
    <xf numFmtId="0" fontId="11" fillId="0" borderId="42" xfId="0" applyFont="1" applyFill="1" applyBorder="1">
      <alignment vertical="center"/>
    </xf>
    <xf numFmtId="0" fontId="11" fillId="0" borderId="53" xfId="0" applyFont="1" applyBorder="1">
      <alignment vertical="center"/>
    </xf>
    <xf numFmtId="0" fontId="11" fillId="0" borderId="63" xfId="0" applyFont="1" applyBorder="1">
      <alignment vertical="center"/>
    </xf>
    <xf numFmtId="0" fontId="11" fillId="4" borderId="42" xfId="0" applyFont="1" applyFill="1" applyBorder="1">
      <alignment vertical="center"/>
    </xf>
    <xf numFmtId="0" fontId="11" fillId="5" borderId="42" xfId="0" applyFont="1" applyFill="1" applyBorder="1">
      <alignment vertical="center"/>
    </xf>
    <xf numFmtId="0" fontId="11" fillId="5" borderId="43" xfId="0" applyFont="1" applyFill="1" applyBorder="1">
      <alignment vertical="center"/>
    </xf>
    <xf numFmtId="0" fontId="11" fillId="5" borderId="41" xfId="0" applyFont="1" applyFill="1" applyBorder="1">
      <alignment vertical="center"/>
    </xf>
    <xf numFmtId="0" fontId="11" fillId="4" borderId="41" xfId="0" applyFont="1" applyFill="1" applyBorder="1">
      <alignment vertical="center"/>
    </xf>
    <xf numFmtId="0" fontId="11" fillId="5" borderId="52" xfId="0" applyFont="1" applyFill="1" applyBorder="1">
      <alignment vertical="center"/>
    </xf>
    <xf numFmtId="0" fontId="11" fillId="0" borderId="64" xfId="0" applyFont="1" applyBorder="1">
      <alignment vertical="center"/>
    </xf>
    <xf numFmtId="0" fontId="11" fillId="0" borderId="65" xfId="0" applyFont="1" applyBorder="1">
      <alignment vertical="center"/>
    </xf>
    <xf numFmtId="0" fontId="11" fillId="4" borderId="68" xfId="0" applyFont="1" applyFill="1" applyBorder="1">
      <alignment vertical="center"/>
    </xf>
    <xf numFmtId="0" fontId="11" fillId="0" borderId="68" xfId="0" applyFont="1" applyFill="1" applyBorder="1">
      <alignment vertical="center"/>
    </xf>
    <xf numFmtId="0" fontId="11" fillId="0" borderId="68" xfId="0" applyFont="1" applyBorder="1">
      <alignment vertical="center"/>
    </xf>
    <xf numFmtId="0" fontId="11" fillId="0" borderId="69" xfId="0" applyFont="1" applyBorder="1">
      <alignment vertical="center"/>
    </xf>
    <xf numFmtId="0" fontId="11" fillId="0" borderId="70" xfId="0" applyFont="1" applyBorder="1">
      <alignment vertical="center"/>
    </xf>
    <xf numFmtId="0" fontId="11" fillId="0" borderId="71" xfId="0" applyFont="1" applyBorder="1">
      <alignment vertical="center"/>
    </xf>
    <xf numFmtId="0" fontId="11" fillId="0" borderId="72" xfId="0" applyFont="1" applyBorder="1">
      <alignment vertical="center"/>
    </xf>
    <xf numFmtId="0" fontId="11" fillId="0" borderId="73" xfId="0" applyFont="1" applyBorder="1">
      <alignment vertical="center"/>
    </xf>
    <xf numFmtId="0" fontId="11" fillId="0" borderId="77" xfId="0" applyFont="1" applyBorder="1">
      <alignment vertical="center"/>
    </xf>
    <xf numFmtId="0" fontId="11" fillId="4" borderId="77" xfId="0" applyFont="1" applyFill="1" applyBorder="1">
      <alignment vertical="center"/>
    </xf>
    <xf numFmtId="0" fontId="11" fillId="0" borderId="78" xfId="0" applyFont="1" applyBorder="1">
      <alignment vertical="center"/>
    </xf>
    <xf numFmtId="0" fontId="11" fillId="0" borderId="79" xfId="0" applyFont="1" applyBorder="1">
      <alignment vertical="center"/>
    </xf>
    <xf numFmtId="0" fontId="13" fillId="0" borderId="84" xfId="0" applyFont="1" applyFill="1" applyBorder="1" applyAlignment="1">
      <alignment horizontal="center" vertical="center"/>
    </xf>
    <xf numFmtId="0" fontId="11" fillId="0" borderId="85" xfId="0" applyFont="1" applyBorder="1">
      <alignment vertical="center"/>
    </xf>
    <xf numFmtId="0" fontId="11" fillId="5" borderId="77" xfId="0" applyFont="1" applyFill="1" applyBorder="1">
      <alignment vertical="center"/>
    </xf>
    <xf numFmtId="0" fontId="11" fillId="5" borderId="79" xfId="0" applyFont="1" applyFill="1" applyBorder="1">
      <alignment vertical="center"/>
    </xf>
    <xf numFmtId="0" fontId="11" fillId="0" borderId="61" xfId="0" applyFont="1" applyBorder="1">
      <alignment vertical="center"/>
    </xf>
    <xf numFmtId="0" fontId="11" fillId="4" borderId="61" xfId="0" applyFont="1" applyFill="1" applyBorder="1">
      <alignment vertical="center"/>
    </xf>
    <xf numFmtId="0" fontId="11" fillId="0" borderId="86" xfId="0" applyFont="1" applyBorder="1">
      <alignment vertical="center"/>
    </xf>
    <xf numFmtId="0" fontId="11" fillId="4" borderId="87" xfId="0" applyFont="1" applyFill="1" applyBorder="1">
      <alignment vertical="center"/>
    </xf>
    <xf numFmtId="0" fontId="13" fillId="0" borderId="88" xfId="0" applyFont="1" applyFill="1" applyBorder="1" applyAlignment="1">
      <alignment horizontal="center" vertical="center"/>
    </xf>
    <xf numFmtId="0" fontId="13" fillId="0" borderId="89" xfId="0" applyFont="1" applyFill="1" applyBorder="1" applyAlignment="1">
      <alignment horizontal="center" vertical="center"/>
    </xf>
    <xf numFmtId="0" fontId="11" fillId="4" borderId="90" xfId="0" applyFont="1" applyFill="1" applyBorder="1">
      <alignment vertical="center"/>
    </xf>
    <xf numFmtId="0" fontId="11" fillId="4" borderId="91" xfId="0" applyFont="1" applyFill="1" applyBorder="1">
      <alignment vertical="center"/>
    </xf>
    <xf numFmtId="0" fontId="11" fillId="0" borderId="91" xfId="0" applyFont="1" applyBorder="1">
      <alignment vertical="center"/>
    </xf>
    <xf numFmtId="0" fontId="11" fillId="0" borderId="92" xfId="0" applyFont="1" applyBorder="1">
      <alignment vertical="center"/>
    </xf>
    <xf numFmtId="0" fontId="11" fillId="4" borderId="86" xfId="0" applyFont="1" applyFill="1" applyBorder="1">
      <alignment vertical="center"/>
    </xf>
    <xf numFmtId="0" fontId="11" fillId="0" borderId="90" xfId="0" applyFont="1" applyBorder="1">
      <alignment vertical="center"/>
    </xf>
    <xf numFmtId="0" fontId="11" fillId="0" borderId="93" xfId="0" applyFont="1" applyBorder="1">
      <alignment vertical="center"/>
    </xf>
    <xf numFmtId="0" fontId="11" fillId="0" borderId="94" xfId="0" applyFont="1" applyBorder="1">
      <alignment vertical="center"/>
    </xf>
    <xf numFmtId="0" fontId="11" fillId="0" borderId="81" xfId="0" applyFont="1" applyBorder="1">
      <alignment vertical="center"/>
    </xf>
    <xf numFmtId="0" fontId="11" fillId="4" borderId="81" xfId="0" applyFont="1" applyFill="1" applyBorder="1">
      <alignment vertical="center"/>
    </xf>
    <xf numFmtId="0" fontId="11" fillId="4" borderId="0" xfId="0" applyFont="1" applyFill="1" applyBorder="1">
      <alignment vertical="center"/>
    </xf>
    <xf numFmtId="0" fontId="11" fillId="0" borderId="95" xfId="0" applyFont="1" applyBorder="1">
      <alignment vertical="center"/>
    </xf>
    <xf numFmtId="0" fontId="11" fillId="0" borderId="80" xfId="0" applyFont="1" applyBorder="1">
      <alignment vertical="center"/>
    </xf>
    <xf numFmtId="0" fontId="11" fillId="0" borderId="36" xfId="0" applyFont="1" applyBorder="1">
      <alignment vertical="center"/>
    </xf>
    <xf numFmtId="0" fontId="11" fillId="0" borderId="20" xfId="0" applyFont="1" applyBorder="1">
      <alignment vertical="center"/>
    </xf>
    <xf numFmtId="0" fontId="11" fillId="0" borderId="37" xfId="0" applyFont="1" applyBorder="1">
      <alignment vertical="center"/>
    </xf>
    <xf numFmtId="0" fontId="11" fillId="0" borderId="21" xfId="0" applyFont="1" applyBorder="1">
      <alignment vertical="center"/>
    </xf>
    <xf numFmtId="0" fontId="11" fillId="0" borderId="99" xfId="0" applyFont="1" applyBorder="1">
      <alignment vertical="center"/>
    </xf>
    <xf numFmtId="0" fontId="11" fillId="0" borderId="59" xfId="0" applyFont="1" applyBorder="1">
      <alignment vertical="center"/>
    </xf>
    <xf numFmtId="0" fontId="11" fillId="0" borderId="62" xfId="0" applyFont="1" applyBorder="1">
      <alignment vertical="center"/>
    </xf>
    <xf numFmtId="0" fontId="11" fillId="4" borderId="59" xfId="0" applyFont="1" applyFill="1" applyBorder="1">
      <alignment vertical="center"/>
    </xf>
    <xf numFmtId="0" fontId="11" fillId="0" borderId="100" xfId="0" applyFont="1" applyBorder="1">
      <alignment vertical="center"/>
    </xf>
    <xf numFmtId="0" fontId="11" fillId="0" borderId="101" xfId="0" applyFont="1" applyBorder="1">
      <alignment vertical="center"/>
    </xf>
    <xf numFmtId="0" fontId="11" fillId="5" borderId="94" xfId="0" applyFont="1" applyFill="1" applyBorder="1">
      <alignment vertical="center"/>
    </xf>
    <xf numFmtId="0" fontId="11" fillId="4" borderId="95" xfId="0" applyFont="1" applyFill="1" applyBorder="1">
      <alignment vertical="center"/>
    </xf>
    <xf numFmtId="0" fontId="11" fillId="4" borderId="38" xfId="0" applyFont="1" applyFill="1" applyBorder="1">
      <alignment vertical="center"/>
    </xf>
    <xf numFmtId="0" fontId="11" fillId="4" borderId="92" xfId="0" applyFont="1" applyFill="1" applyBorder="1">
      <alignment vertical="center"/>
    </xf>
    <xf numFmtId="0" fontId="11" fillId="0" borderId="61" xfId="0" applyFont="1" applyFill="1" applyBorder="1">
      <alignment vertical="center"/>
    </xf>
    <xf numFmtId="0" fontId="11" fillId="0" borderId="87" xfId="0" applyFont="1" applyBorder="1">
      <alignment vertical="center"/>
    </xf>
    <xf numFmtId="0" fontId="11" fillId="4" borderId="85" xfId="0" applyFont="1" applyFill="1" applyBorder="1">
      <alignment vertical="center"/>
    </xf>
    <xf numFmtId="0" fontId="11" fillId="4" borderId="65" xfId="0" applyFont="1" applyFill="1" applyBorder="1">
      <alignment vertical="center"/>
    </xf>
    <xf numFmtId="0" fontId="11" fillId="0" borderId="102" xfId="0" applyFont="1" applyBorder="1">
      <alignment vertical="center"/>
    </xf>
    <xf numFmtId="0" fontId="11" fillId="0" borderId="58" xfId="0" applyFont="1" applyBorder="1">
      <alignment vertical="center"/>
    </xf>
    <xf numFmtId="0" fontId="11" fillId="0" borderId="103" xfId="0" applyFont="1" applyBorder="1">
      <alignment vertical="center"/>
    </xf>
    <xf numFmtId="0" fontId="11" fillId="0" borderId="60" xfId="0" applyFont="1" applyBorder="1">
      <alignment vertical="center"/>
    </xf>
    <xf numFmtId="0" fontId="11" fillId="4" borderId="80" xfId="0" applyFont="1" applyFill="1" applyBorder="1">
      <alignment vertical="center"/>
    </xf>
    <xf numFmtId="0" fontId="11" fillId="6" borderId="81" xfId="0" applyFont="1" applyFill="1" applyBorder="1">
      <alignment vertical="center"/>
    </xf>
    <xf numFmtId="0" fontId="11" fillId="6" borderId="36" xfId="0" applyFont="1" applyFill="1" applyBorder="1">
      <alignment vertical="center"/>
    </xf>
    <xf numFmtId="0" fontId="11" fillId="6" borderId="0" xfId="0" applyFont="1" applyFill="1" applyBorder="1">
      <alignment vertical="center"/>
    </xf>
    <xf numFmtId="0" fontId="11" fillId="6" borderId="37" xfId="0" applyFont="1" applyFill="1" applyBorder="1">
      <alignment vertical="center"/>
    </xf>
    <xf numFmtId="0" fontId="11" fillId="6" borderId="95" xfId="0" applyFont="1" applyFill="1" applyBorder="1">
      <alignment vertical="center"/>
    </xf>
    <xf numFmtId="0" fontId="11" fillId="6" borderId="38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1" fillId="6" borderId="61" xfId="0" applyFont="1" applyFill="1" applyBorder="1">
      <alignment vertical="center"/>
    </xf>
    <xf numFmtId="0" fontId="11" fillId="6" borderId="86" xfId="0" applyFont="1" applyFill="1" applyBorder="1">
      <alignment vertical="center"/>
    </xf>
    <xf numFmtId="0" fontId="11" fillId="6" borderId="0" xfId="0" applyFont="1" applyFill="1">
      <alignment vertical="center"/>
    </xf>
    <xf numFmtId="0" fontId="11" fillId="6" borderId="52" xfId="0" applyFont="1" applyFill="1" applyBorder="1">
      <alignment vertical="center"/>
    </xf>
    <xf numFmtId="0" fontId="11" fillId="6" borderId="73" xfId="0" applyFont="1" applyFill="1" applyBorder="1">
      <alignment vertical="center"/>
    </xf>
    <xf numFmtId="0" fontId="11" fillId="6" borderId="43" xfId="0" applyFont="1" applyFill="1" applyBorder="1">
      <alignment vertical="center"/>
    </xf>
    <xf numFmtId="0" fontId="11" fillId="6" borderId="72" xfId="0" applyFont="1" applyFill="1" applyBorder="1">
      <alignment vertical="center"/>
    </xf>
    <xf numFmtId="0" fontId="11" fillId="6" borderId="41" xfId="0" applyFont="1" applyFill="1" applyBorder="1">
      <alignment vertical="center"/>
    </xf>
    <xf numFmtId="0" fontId="11" fillId="6" borderId="85" xfId="0" applyFont="1" applyFill="1" applyBorder="1">
      <alignment vertical="center"/>
    </xf>
    <xf numFmtId="0" fontId="7" fillId="0" borderId="1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56" fontId="0" fillId="0" borderId="0" xfId="0" applyNumberFormat="1">
      <alignment vertical="center"/>
    </xf>
    <xf numFmtId="0" fontId="11" fillId="0" borderId="52" xfId="0" applyFont="1" applyFill="1" applyBorder="1">
      <alignment vertical="center"/>
    </xf>
    <xf numFmtId="0" fontId="11" fillId="0" borderId="43" xfId="0" applyFont="1" applyFill="1" applyBorder="1">
      <alignment vertical="center"/>
    </xf>
    <xf numFmtId="0" fontId="11" fillId="0" borderId="41" xfId="0" applyFont="1" applyFill="1" applyBorder="1">
      <alignment vertical="center"/>
    </xf>
    <xf numFmtId="0" fontId="11" fillId="0" borderId="105" xfId="0" applyFont="1" applyFill="1" applyBorder="1">
      <alignment vertical="center"/>
    </xf>
    <xf numFmtId="0" fontId="11" fillId="0" borderId="106" xfId="0" applyFont="1" applyBorder="1">
      <alignment vertical="center"/>
    </xf>
    <xf numFmtId="0" fontId="11" fillId="0" borderId="105" xfId="0" applyFont="1" applyBorder="1">
      <alignment vertical="center"/>
    </xf>
    <xf numFmtId="0" fontId="11" fillId="0" borderId="107" xfId="0" applyFont="1" applyBorder="1">
      <alignment vertical="center"/>
    </xf>
    <xf numFmtId="0" fontId="11" fillId="0" borderId="104" xfId="0" applyFont="1" applyBorder="1">
      <alignment vertical="center"/>
    </xf>
    <xf numFmtId="0" fontId="11" fillId="0" borderId="106" xfId="0" applyFont="1" applyFill="1" applyBorder="1">
      <alignment vertical="center"/>
    </xf>
    <xf numFmtId="0" fontId="11" fillId="0" borderId="58" xfId="0" applyFont="1" applyFill="1" applyBorder="1">
      <alignment vertical="center"/>
    </xf>
    <xf numFmtId="0" fontId="11" fillId="0" borderId="60" xfId="0" applyFont="1" applyFill="1" applyBorder="1">
      <alignment vertical="center"/>
    </xf>
    <xf numFmtId="0" fontId="11" fillId="0" borderId="101" xfId="0" applyFont="1" applyFill="1" applyBorder="1">
      <alignment vertical="center"/>
    </xf>
    <xf numFmtId="0" fontId="11" fillId="0" borderId="62" xfId="0" applyFont="1" applyFill="1" applyBorder="1">
      <alignment vertical="center"/>
    </xf>
    <xf numFmtId="0" fontId="11" fillId="5" borderId="102" xfId="0" applyFont="1" applyFill="1" applyBorder="1">
      <alignment vertical="center"/>
    </xf>
    <xf numFmtId="0" fontId="11" fillId="5" borderId="103" xfId="0" applyFont="1" applyFill="1" applyBorder="1">
      <alignment vertical="center"/>
    </xf>
    <xf numFmtId="0" fontId="11" fillId="4" borderId="70" xfId="0" applyFont="1" applyFill="1" applyBorder="1">
      <alignment vertical="center"/>
    </xf>
    <xf numFmtId="0" fontId="11" fillId="0" borderId="108" xfId="0" applyFont="1" applyBorder="1">
      <alignment vertical="center"/>
    </xf>
    <xf numFmtId="0" fontId="11" fillId="0" borderId="109" xfId="0" applyFont="1" applyBorder="1">
      <alignment vertical="center"/>
    </xf>
    <xf numFmtId="0" fontId="11" fillId="0" borderId="110" xfId="0" applyFont="1" applyBorder="1">
      <alignment vertical="center"/>
    </xf>
    <xf numFmtId="0" fontId="11" fillId="0" borderId="111" xfId="0" applyFont="1" applyBorder="1">
      <alignment vertical="center"/>
    </xf>
    <xf numFmtId="0" fontId="11" fillId="0" borderId="112" xfId="0" applyFont="1" applyBorder="1">
      <alignment vertical="center"/>
    </xf>
    <xf numFmtId="0" fontId="11" fillId="0" borderId="113" xfId="0" applyFont="1" applyBorder="1">
      <alignment vertical="center"/>
    </xf>
    <xf numFmtId="0" fontId="11" fillId="4" borderId="109" xfId="0" applyFont="1" applyFill="1" applyBorder="1">
      <alignment vertical="center"/>
    </xf>
    <xf numFmtId="0" fontId="11" fillId="5" borderId="59" xfId="0" applyFont="1" applyFill="1" applyBorder="1">
      <alignment vertical="center"/>
    </xf>
    <xf numFmtId="0" fontId="11" fillId="4" borderId="114" xfId="0" applyFont="1" applyFill="1" applyBorder="1">
      <alignment vertical="center"/>
    </xf>
    <xf numFmtId="0" fontId="11" fillId="0" borderId="115" xfId="0" applyFont="1" applyBorder="1">
      <alignment vertical="center"/>
    </xf>
    <xf numFmtId="0" fontId="11" fillId="0" borderId="92" xfId="0" applyFont="1" applyFill="1" applyBorder="1">
      <alignment vertical="center"/>
    </xf>
    <xf numFmtId="0" fontId="11" fillId="0" borderId="59" xfId="0" applyFont="1" applyFill="1" applyBorder="1">
      <alignment vertical="center"/>
    </xf>
    <xf numFmtId="0" fontId="11" fillId="0" borderId="107" xfId="0" applyFont="1" applyFill="1" applyBorder="1">
      <alignment vertical="center"/>
    </xf>
    <xf numFmtId="0" fontId="11" fillId="5" borderId="68" xfId="0" applyFont="1" applyFill="1" applyBorder="1">
      <alignment vertical="center"/>
    </xf>
    <xf numFmtId="0" fontId="11" fillId="0" borderId="77" xfId="0" applyFont="1" applyFill="1" applyBorder="1">
      <alignment vertical="center"/>
    </xf>
    <xf numFmtId="0" fontId="11" fillId="0" borderId="123" xfId="0" applyFont="1" applyBorder="1">
      <alignment vertical="center"/>
    </xf>
    <xf numFmtId="0" fontId="11" fillId="7" borderId="117" xfId="0" applyFont="1" applyFill="1" applyBorder="1">
      <alignment vertical="center"/>
    </xf>
    <xf numFmtId="0" fontId="11" fillId="7" borderId="42" xfId="0" applyFont="1" applyFill="1" applyBorder="1">
      <alignment vertical="center"/>
    </xf>
    <xf numFmtId="0" fontId="11" fillId="7" borderId="118" xfId="0" applyFont="1" applyFill="1" applyBorder="1">
      <alignment vertical="center"/>
    </xf>
    <xf numFmtId="0" fontId="11" fillId="7" borderId="61" xfId="0" applyFont="1" applyFill="1" applyBorder="1">
      <alignment vertical="center"/>
    </xf>
    <xf numFmtId="0" fontId="11" fillId="7" borderId="120" xfId="0" applyFont="1" applyFill="1" applyBorder="1">
      <alignment vertical="center"/>
    </xf>
    <xf numFmtId="0" fontId="11" fillId="7" borderId="68" xfId="0" applyFont="1" applyFill="1" applyBorder="1">
      <alignment vertical="center"/>
    </xf>
    <xf numFmtId="0" fontId="11" fillId="7" borderId="121" xfId="0" applyFont="1" applyFill="1" applyBorder="1">
      <alignment vertical="center"/>
    </xf>
    <xf numFmtId="0" fontId="11" fillId="7" borderId="77" xfId="0" applyFont="1" applyFill="1" applyBorder="1">
      <alignment vertical="center"/>
    </xf>
    <xf numFmtId="0" fontId="11" fillId="7" borderId="122" xfId="0" applyFont="1" applyFill="1" applyBorder="1">
      <alignment vertical="center"/>
    </xf>
    <xf numFmtId="0" fontId="11" fillId="7" borderId="105" xfId="0" applyFont="1" applyFill="1" applyBorder="1">
      <alignment vertical="center"/>
    </xf>
    <xf numFmtId="0" fontId="13" fillId="7" borderId="124" xfId="0" applyFont="1" applyFill="1" applyBorder="1" applyAlignment="1">
      <alignment horizontal="center" vertical="center"/>
    </xf>
    <xf numFmtId="0" fontId="13" fillId="7" borderId="125" xfId="0" applyFont="1" applyFill="1" applyBorder="1" applyAlignment="1">
      <alignment horizontal="center" vertical="center"/>
    </xf>
    <xf numFmtId="0" fontId="13" fillId="0" borderId="125" xfId="0" applyFont="1" applyFill="1" applyBorder="1" applyAlignment="1">
      <alignment horizontal="center" vertical="center"/>
    </xf>
    <xf numFmtId="0" fontId="13" fillId="0" borderId="126" xfId="0" applyFont="1" applyFill="1" applyBorder="1" applyAlignment="1">
      <alignment horizontal="center" vertical="center"/>
    </xf>
    <xf numFmtId="0" fontId="11" fillId="7" borderId="116" xfId="0" applyFont="1" applyFill="1" applyBorder="1">
      <alignment vertical="center"/>
    </xf>
    <xf numFmtId="0" fontId="11" fillId="7" borderId="52" xfId="0" applyFont="1" applyFill="1" applyBorder="1">
      <alignment vertical="center"/>
    </xf>
    <xf numFmtId="0" fontId="11" fillId="7" borderId="119" xfId="0" applyFont="1" applyFill="1" applyBorder="1">
      <alignment vertical="center"/>
    </xf>
    <xf numFmtId="0" fontId="11" fillId="7" borderId="41" xfId="0" applyFont="1" applyFill="1" applyBorder="1">
      <alignment vertical="center"/>
    </xf>
    <xf numFmtId="0" fontId="11" fillId="7" borderId="127" xfId="0" applyFont="1" applyFill="1" applyBorder="1">
      <alignment vertical="center"/>
    </xf>
    <xf numFmtId="0" fontId="11" fillId="7" borderId="43" xfId="0" applyFont="1" applyFill="1" applyBorder="1">
      <alignment vertical="center"/>
    </xf>
    <xf numFmtId="0" fontId="11" fillId="0" borderId="114" xfId="0" applyFont="1" applyBorder="1">
      <alignment vertical="center"/>
    </xf>
    <xf numFmtId="0" fontId="11" fillId="7" borderId="129" xfId="0" applyFont="1" applyFill="1" applyBorder="1">
      <alignment vertical="center"/>
    </xf>
    <xf numFmtId="0" fontId="11" fillId="7" borderId="109" xfId="0" applyFont="1" applyFill="1" applyBorder="1">
      <alignment vertical="center"/>
    </xf>
    <xf numFmtId="0" fontId="11" fillId="7" borderId="131" xfId="0" applyFont="1" applyFill="1" applyBorder="1">
      <alignment vertical="center"/>
    </xf>
    <xf numFmtId="0" fontId="11" fillId="7" borderId="112" xfId="0" applyFont="1" applyFill="1" applyBorder="1">
      <alignment vertical="center"/>
    </xf>
    <xf numFmtId="0" fontId="11" fillId="6" borderId="108" xfId="0" applyFont="1" applyFill="1" applyBorder="1">
      <alignment vertical="center"/>
    </xf>
    <xf numFmtId="0" fontId="11" fillId="6" borderId="109" xfId="0" applyFont="1" applyFill="1" applyBorder="1">
      <alignment vertical="center"/>
    </xf>
    <xf numFmtId="0" fontId="11" fillId="6" borderId="104" xfId="0" applyFont="1" applyFill="1" applyBorder="1">
      <alignment vertical="center"/>
    </xf>
    <xf numFmtId="0" fontId="11" fillId="6" borderId="105" xfId="0" applyFont="1" applyFill="1" applyBorder="1">
      <alignment vertical="center"/>
    </xf>
    <xf numFmtId="0" fontId="11" fillId="6" borderId="112" xfId="0" applyFont="1" applyFill="1" applyBorder="1">
      <alignment vertical="center"/>
    </xf>
    <xf numFmtId="0" fontId="7" fillId="6" borderId="83" xfId="0" applyFont="1" applyFill="1" applyBorder="1" applyAlignment="1">
      <alignment horizontal="left" vertical="center"/>
    </xf>
    <xf numFmtId="0" fontId="7" fillId="6" borderId="81" xfId="0" applyFont="1" applyFill="1" applyBorder="1" applyAlignment="1">
      <alignment horizontal="left" vertical="center"/>
    </xf>
    <xf numFmtId="0" fontId="7" fillId="6" borderId="40" xfId="0" applyFont="1" applyFill="1" applyBorder="1" applyAlignment="1">
      <alignment horizontal="left" vertical="center"/>
    </xf>
    <xf numFmtId="0" fontId="7" fillId="6" borderId="0" xfId="0" applyFont="1" applyFill="1" applyBorder="1" applyAlignment="1">
      <alignment horizontal="left" vertical="center"/>
    </xf>
    <xf numFmtId="0" fontId="7" fillId="6" borderId="130" xfId="0" applyFont="1" applyFill="1" applyBorder="1" applyAlignment="1">
      <alignment horizontal="left" vertical="center"/>
    </xf>
    <xf numFmtId="0" fontId="7" fillId="6" borderId="95" xfId="0" applyFont="1" applyFill="1" applyBorder="1" applyAlignment="1">
      <alignment horizontal="left" vertical="center"/>
    </xf>
    <xf numFmtId="0" fontId="11" fillId="0" borderId="108" xfId="0" applyFont="1" applyFill="1" applyBorder="1">
      <alignment vertical="center"/>
    </xf>
    <xf numFmtId="0" fontId="11" fillId="0" borderId="109" xfId="0" applyFont="1" applyFill="1" applyBorder="1">
      <alignment vertical="center"/>
    </xf>
    <xf numFmtId="0" fontId="11" fillId="0" borderId="110" xfId="0" applyFont="1" applyFill="1" applyBorder="1">
      <alignment vertical="center"/>
    </xf>
    <xf numFmtId="0" fontId="11" fillId="0" borderId="104" xfId="0" applyFont="1" applyFill="1" applyBorder="1">
      <alignment vertical="center"/>
    </xf>
    <xf numFmtId="0" fontId="11" fillId="0" borderId="111" xfId="0" applyFont="1" applyFill="1" applyBorder="1">
      <alignment vertical="center"/>
    </xf>
    <xf numFmtId="0" fontId="11" fillId="0" borderId="112" xfId="0" applyFont="1" applyFill="1" applyBorder="1">
      <alignment vertical="center"/>
    </xf>
    <xf numFmtId="0" fontId="11" fillId="0" borderId="113" xfId="0" applyFont="1" applyFill="1" applyBorder="1">
      <alignment vertical="center"/>
    </xf>
    <xf numFmtId="0" fontId="11" fillId="6" borderId="110" xfId="0" applyFont="1" applyFill="1" applyBorder="1">
      <alignment vertical="center"/>
    </xf>
    <xf numFmtId="0" fontId="11" fillId="6" borderId="106" xfId="0" applyFont="1" applyFill="1" applyBorder="1">
      <alignment vertical="center"/>
    </xf>
    <xf numFmtId="0" fontId="11" fillId="6" borderId="113" xfId="0" applyFont="1" applyFill="1" applyBorder="1">
      <alignment vertical="center"/>
    </xf>
    <xf numFmtId="0" fontId="11" fillId="8" borderId="61" xfId="0" applyFont="1" applyFill="1" applyBorder="1">
      <alignment vertical="center"/>
    </xf>
    <xf numFmtId="0" fontId="11" fillId="8" borderId="62" xfId="0" applyFont="1" applyFill="1" applyBorder="1">
      <alignment vertical="center"/>
    </xf>
    <xf numFmtId="0" fontId="10" fillId="3" borderId="33" xfId="0" applyFont="1" applyFill="1" applyBorder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5" xfId="0" applyFont="1" applyFill="1" applyBorder="1" applyAlignment="1">
      <alignment horizontal="center" vertical="center"/>
    </xf>
    <xf numFmtId="0" fontId="7" fillId="6" borderId="80" xfId="0" applyFont="1" applyFill="1" applyBorder="1" applyAlignment="1">
      <alignment horizontal="center" vertical="center"/>
    </xf>
    <xf numFmtId="0" fontId="7" fillId="6" borderId="81" xfId="0" applyFont="1" applyFill="1" applyBorder="1" applyAlignment="1">
      <alignment horizontal="center" vertical="center"/>
    </xf>
    <xf numFmtId="0" fontId="7" fillId="6" borderId="82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7" fillId="6" borderId="39" xfId="0" applyFont="1" applyFill="1" applyBorder="1" applyAlignment="1">
      <alignment horizontal="center" vertical="center"/>
    </xf>
    <xf numFmtId="0" fontId="7" fillId="6" borderId="21" xfId="0" applyFont="1" applyFill="1" applyBorder="1" applyAlignment="1">
      <alignment horizontal="center" vertical="center"/>
    </xf>
    <xf numFmtId="0" fontId="7" fillId="6" borderId="95" xfId="0" applyFont="1" applyFill="1" applyBorder="1" applyAlignment="1">
      <alignment horizontal="center" vertical="center"/>
    </xf>
    <xf numFmtId="0" fontId="7" fillId="6" borderId="128" xfId="0" applyFont="1" applyFill="1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7" fillId="0" borderId="66" xfId="0" applyFont="1" applyBorder="1" applyAlignment="1">
      <alignment horizontal="left" vertical="center"/>
    </xf>
    <xf numFmtId="0" fontId="7" fillId="0" borderId="67" xfId="0" applyFont="1" applyBorder="1" applyAlignment="1">
      <alignment horizontal="left" vertical="center"/>
    </xf>
    <xf numFmtId="0" fontId="7" fillId="0" borderId="96" xfId="0" applyFont="1" applyBorder="1" applyAlignment="1">
      <alignment horizontal="left" vertical="center"/>
    </xf>
    <xf numFmtId="0" fontId="7" fillId="0" borderId="46" xfId="0" applyFont="1" applyBorder="1" applyAlignment="1">
      <alignment horizontal="left" vertical="center"/>
    </xf>
    <xf numFmtId="0" fontId="7" fillId="0" borderId="47" xfId="0" applyFont="1" applyBorder="1" applyAlignment="1">
      <alignment horizontal="left" vertical="center"/>
    </xf>
    <xf numFmtId="0" fontId="7" fillId="0" borderId="97" xfId="0" applyFont="1" applyBorder="1" applyAlignment="1">
      <alignment horizontal="left" vertical="center"/>
    </xf>
    <xf numFmtId="0" fontId="7" fillId="0" borderId="75" xfId="0" applyFont="1" applyBorder="1" applyAlignment="1">
      <alignment horizontal="left" vertical="center"/>
    </xf>
    <xf numFmtId="0" fontId="7" fillId="0" borderId="76" xfId="0" applyFont="1" applyBorder="1" applyAlignment="1">
      <alignment horizontal="left" vertical="center"/>
    </xf>
    <xf numFmtId="0" fontId="7" fillId="0" borderId="98" xfId="0" applyFont="1" applyBorder="1" applyAlignment="1">
      <alignment horizontal="left" vertical="center"/>
    </xf>
    <xf numFmtId="0" fontId="7" fillId="6" borderId="54" xfId="0" applyFont="1" applyFill="1" applyBorder="1" applyAlignment="1">
      <alignment horizontal="left" vertical="center"/>
    </xf>
    <xf numFmtId="0" fontId="7" fillId="6" borderId="55" xfId="0" applyFont="1" applyFill="1" applyBorder="1" applyAlignment="1">
      <alignment horizontal="left" vertical="center"/>
    </xf>
    <xf numFmtId="0" fontId="7" fillId="0" borderId="33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4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56" xfId="0" applyFont="1" applyBorder="1" applyAlignment="1">
      <alignment horizontal="left" vertical="center"/>
    </xf>
    <xf numFmtId="0" fontId="7" fillId="0" borderId="57" xfId="0" applyFont="1" applyBorder="1" applyAlignment="1">
      <alignment horizontal="left" vertical="center"/>
    </xf>
    <xf numFmtId="0" fontId="7" fillId="0" borderId="44" xfId="0" applyFont="1" applyBorder="1" applyAlignment="1">
      <alignment horizontal="left" vertical="center"/>
    </xf>
    <xf numFmtId="0" fontId="7" fillId="0" borderId="45" xfId="0" applyFont="1" applyBorder="1" applyAlignment="1">
      <alignment horizontal="left" vertical="center"/>
    </xf>
    <xf numFmtId="0" fontId="7" fillId="0" borderId="48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50" xfId="0" applyFont="1" applyBorder="1" applyAlignment="1">
      <alignment horizontal="left" vertical="center"/>
    </xf>
    <xf numFmtId="0" fontId="7" fillId="0" borderId="51" xfId="0" applyFont="1" applyBorder="1" applyAlignment="1">
      <alignment horizontal="left" vertical="center"/>
    </xf>
    <xf numFmtId="0" fontId="9" fillId="3" borderId="80" xfId="0" applyFont="1" applyFill="1" applyBorder="1" applyAlignment="1">
      <alignment horizontal="center" vertical="center"/>
    </xf>
    <xf numFmtId="0" fontId="9" fillId="3" borderId="81" xfId="0" applyFont="1" applyFill="1" applyBorder="1" applyAlignment="1">
      <alignment horizontal="center" vertical="center"/>
    </xf>
    <xf numFmtId="0" fontId="9" fillId="3" borderId="82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39" xfId="0" applyFont="1" applyFill="1" applyBorder="1" applyAlignment="1">
      <alignment horizontal="center" vertical="center"/>
    </xf>
    <xf numFmtId="0" fontId="9" fillId="3" borderId="83" xfId="0" applyFont="1" applyFill="1" applyBorder="1" applyAlignment="1">
      <alignment horizontal="center" vertical="center" wrapText="1"/>
    </xf>
    <xf numFmtId="0" fontId="9" fillId="3" borderId="81" xfId="0" applyFont="1" applyFill="1" applyBorder="1" applyAlignment="1">
      <alignment horizontal="center" vertical="center" wrapText="1"/>
    </xf>
    <xf numFmtId="0" fontId="9" fillId="3" borderId="40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 wrapText="1"/>
    </xf>
    <xf numFmtId="0" fontId="10" fillId="3" borderId="82" xfId="0" applyFont="1" applyFill="1" applyBorder="1" applyAlignment="1">
      <alignment horizontal="center" vertical="center"/>
    </xf>
    <xf numFmtId="0" fontId="10" fillId="3" borderId="8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49" fontId="3" fillId="0" borderId="8" xfId="2" applyNumberFormat="1" applyFont="1" applyFill="1" applyBorder="1" applyAlignment="1">
      <alignment horizontal="center" vertical="center" wrapText="1"/>
    </xf>
    <xf numFmtId="49" fontId="3" fillId="0" borderId="5" xfId="2" applyNumberFormat="1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 wrapText="1"/>
    </xf>
    <xf numFmtId="0" fontId="7" fillId="0" borderId="132" xfId="0" applyFont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horizontal="center" vertical="center"/>
    </xf>
  </cellXfs>
  <cellStyles count="3">
    <cellStyle name="標準" xfId="0" builtinId="0"/>
    <cellStyle name="標準_MD-仕様-DXXX_00_福祉請求JET4.0_2007Runtime_2003" xfId="1" xr:uid="{00000000-0005-0000-0000-000001000000}"/>
    <cellStyle name="標準_システム管理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104775</xdr:colOff>
      <xdr:row>54</xdr:row>
      <xdr:rowOff>66675</xdr:rowOff>
    </xdr:from>
    <xdr:to>
      <xdr:col>75</xdr:col>
      <xdr:colOff>110490</xdr:colOff>
      <xdr:row>57</xdr:row>
      <xdr:rowOff>81915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68B680FB-076F-44BC-BCEA-600FECD1C853}"/>
            </a:ext>
          </a:extLst>
        </xdr:cNvPr>
        <xdr:cNvSpPr/>
      </xdr:nvSpPr>
      <xdr:spPr>
        <a:xfrm>
          <a:off x="12887325" y="9801225"/>
          <a:ext cx="1272540" cy="529590"/>
        </a:xfrm>
        <a:prstGeom prst="wedgeRoundRectCallout">
          <a:avLst>
            <a:gd name="adj1" fmla="val -82962"/>
            <a:gd name="adj2" fmla="val -12852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動画部分単体テスト完了後開始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A73F2-5421-46FF-B7EA-C6517AF316B2}">
  <dimension ref="B2:CL73"/>
  <sheetViews>
    <sheetView topLeftCell="A43" workbookViewId="0">
      <selection activeCell="BB68" sqref="BB68"/>
    </sheetView>
  </sheetViews>
  <sheetFormatPr defaultColWidth="3" defaultRowHeight="13.2"/>
  <cols>
    <col min="2" max="2" width="9.109375" bestFit="1" customWidth="1"/>
    <col min="3" max="90" width="2.6640625" style="68" customWidth="1"/>
  </cols>
  <sheetData>
    <row r="2" spans="2:90">
      <c r="B2" s="308" t="s">
        <v>140</v>
      </c>
      <c r="C2" s="308"/>
      <c r="D2" s="308"/>
      <c r="E2" s="308"/>
      <c r="F2" s="308"/>
      <c r="G2" s="308"/>
      <c r="H2" s="308"/>
      <c r="I2" s="308"/>
      <c r="J2" s="308"/>
      <c r="K2" s="308"/>
      <c r="L2" s="308"/>
      <c r="M2" s="308"/>
      <c r="N2" s="308"/>
      <c r="O2" s="308"/>
      <c r="P2" s="308"/>
      <c r="Q2" s="308"/>
      <c r="R2" s="308"/>
      <c r="S2" s="308"/>
      <c r="T2" s="308"/>
      <c r="U2" s="308"/>
      <c r="V2" s="308"/>
      <c r="W2" s="308"/>
      <c r="X2" s="308"/>
      <c r="Y2" s="308"/>
      <c r="Z2" s="308"/>
      <c r="AA2" s="308"/>
    </row>
    <row r="3" spans="2:90" ht="13.8" customHeight="1"/>
    <row r="5" spans="2:90" ht="13.8" thickBot="1">
      <c r="B5" s="172" t="s">
        <v>148</v>
      </c>
    </row>
    <row r="6" spans="2:90" ht="28.8" customHeight="1">
      <c r="B6" s="296" t="s">
        <v>121</v>
      </c>
      <c r="C6" s="297"/>
      <c r="D6" s="298"/>
      <c r="E6" s="302" t="s">
        <v>46</v>
      </c>
      <c r="F6" s="303"/>
      <c r="G6" s="303"/>
      <c r="H6" s="303"/>
      <c r="I6" s="303"/>
      <c r="J6" s="303"/>
      <c r="K6" s="303"/>
      <c r="L6" s="303"/>
      <c r="M6" s="303"/>
      <c r="N6" s="253" t="s">
        <v>141</v>
      </c>
      <c r="O6" s="254"/>
      <c r="P6" s="254"/>
      <c r="Q6" s="254"/>
      <c r="R6" s="254"/>
      <c r="S6" s="254"/>
      <c r="T6" s="254"/>
      <c r="U6" s="254"/>
      <c r="V6" s="254"/>
      <c r="W6" s="254"/>
      <c r="X6" s="254"/>
      <c r="Y6" s="254"/>
      <c r="Z6" s="254"/>
      <c r="AA6" s="254"/>
      <c r="AB6" s="254"/>
      <c r="AC6" s="255"/>
      <c r="AD6" s="306" t="s">
        <v>142</v>
      </c>
      <c r="AE6" s="254"/>
      <c r="AF6" s="254"/>
      <c r="AG6" s="254"/>
      <c r="AH6" s="254"/>
      <c r="AI6" s="254"/>
      <c r="AJ6" s="254"/>
      <c r="AK6" s="254"/>
      <c r="AL6" s="254"/>
      <c r="AM6" s="254"/>
      <c r="AN6" s="254"/>
      <c r="AO6" s="254"/>
      <c r="AP6" s="254"/>
      <c r="AQ6" s="254"/>
      <c r="AR6" s="307"/>
      <c r="AS6" s="253" t="s">
        <v>143</v>
      </c>
      <c r="AT6" s="254"/>
      <c r="AU6" s="254"/>
      <c r="AV6" s="254"/>
      <c r="AW6" s="254"/>
      <c r="AX6" s="254"/>
      <c r="AY6" s="254"/>
      <c r="AZ6" s="254"/>
      <c r="BA6" s="254"/>
      <c r="BB6" s="254"/>
      <c r="BC6" s="254"/>
      <c r="BD6" s="254"/>
      <c r="BE6" s="254"/>
      <c r="BF6" s="254"/>
      <c r="BG6" s="254"/>
      <c r="BH6" s="255"/>
    </row>
    <row r="7" spans="2:90" s="74" customFormat="1" ht="17.399999999999999" customHeight="1" thickBot="1">
      <c r="B7" s="299"/>
      <c r="C7" s="300"/>
      <c r="D7" s="301"/>
      <c r="E7" s="304"/>
      <c r="F7" s="305"/>
      <c r="G7" s="305"/>
      <c r="H7" s="305"/>
      <c r="I7" s="305"/>
      <c r="J7" s="305"/>
      <c r="K7" s="305"/>
      <c r="L7" s="305"/>
      <c r="M7" s="305"/>
      <c r="N7" s="109">
        <v>1</v>
      </c>
      <c r="O7" s="76">
        <v>3</v>
      </c>
      <c r="P7" s="76">
        <v>5</v>
      </c>
      <c r="Q7" s="75">
        <v>7</v>
      </c>
      <c r="R7" s="76">
        <v>9</v>
      </c>
      <c r="S7" s="76">
        <v>11</v>
      </c>
      <c r="T7" s="75">
        <v>13</v>
      </c>
      <c r="U7" s="76">
        <v>15</v>
      </c>
      <c r="V7" s="76">
        <v>17</v>
      </c>
      <c r="W7" s="75">
        <v>19</v>
      </c>
      <c r="X7" s="76">
        <v>21</v>
      </c>
      <c r="Y7" s="76">
        <v>23</v>
      </c>
      <c r="Z7" s="75">
        <v>25</v>
      </c>
      <c r="AA7" s="76">
        <v>27</v>
      </c>
      <c r="AB7" s="76">
        <v>29</v>
      </c>
      <c r="AC7" s="110">
        <v>31</v>
      </c>
      <c r="AD7" s="76">
        <v>1</v>
      </c>
      <c r="AE7" s="76">
        <v>3</v>
      </c>
      <c r="AF7" s="76">
        <v>5</v>
      </c>
      <c r="AG7" s="75">
        <v>7</v>
      </c>
      <c r="AH7" s="76">
        <v>9</v>
      </c>
      <c r="AI7" s="76">
        <v>11</v>
      </c>
      <c r="AJ7" s="75">
        <v>13</v>
      </c>
      <c r="AK7" s="76">
        <v>15</v>
      </c>
      <c r="AL7" s="76">
        <v>17</v>
      </c>
      <c r="AM7" s="75">
        <v>19</v>
      </c>
      <c r="AN7" s="76">
        <v>21</v>
      </c>
      <c r="AO7" s="76">
        <v>23</v>
      </c>
      <c r="AP7" s="75">
        <v>25</v>
      </c>
      <c r="AQ7" s="76">
        <v>27</v>
      </c>
      <c r="AR7" s="76">
        <v>29</v>
      </c>
      <c r="AS7" s="109">
        <v>1</v>
      </c>
      <c r="AT7" s="76">
        <v>3</v>
      </c>
      <c r="AU7" s="76">
        <v>5</v>
      </c>
      <c r="AV7" s="75">
        <v>7</v>
      </c>
      <c r="AW7" s="76">
        <v>9</v>
      </c>
      <c r="AX7" s="76">
        <v>11</v>
      </c>
      <c r="AY7" s="75">
        <v>13</v>
      </c>
      <c r="AZ7" s="76">
        <v>15</v>
      </c>
      <c r="BA7" s="76">
        <v>17</v>
      </c>
      <c r="BB7" s="75">
        <v>19</v>
      </c>
      <c r="BC7" s="76">
        <v>21</v>
      </c>
      <c r="BD7" s="76">
        <v>23</v>
      </c>
      <c r="BE7" s="75">
        <v>25</v>
      </c>
      <c r="BF7" s="76">
        <v>27</v>
      </c>
      <c r="BG7" s="75">
        <v>29</v>
      </c>
      <c r="BH7" s="101">
        <v>31</v>
      </c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BU7" s="73"/>
      <c r="BV7" s="73"/>
      <c r="BW7" s="73"/>
      <c r="BX7" s="73"/>
      <c r="BY7" s="73"/>
      <c r="BZ7" s="73"/>
      <c r="CA7" s="73"/>
      <c r="CB7" s="73"/>
      <c r="CC7" s="73"/>
      <c r="CD7" s="73"/>
      <c r="CE7" s="73"/>
      <c r="CF7" s="73"/>
      <c r="CG7" s="73"/>
      <c r="CH7" s="73"/>
      <c r="CI7" s="73"/>
      <c r="CJ7" s="73"/>
      <c r="CK7" s="73"/>
      <c r="CL7" s="73"/>
    </row>
    <row r="8" spans="2:90">
      <c r="B8" s="282" t="s">
        <v>48</v>
      </c>
      <c r="C8" s="283"/>
      <c r="D8" s="283"/>
      <c r="E8" s="271" t="s">
        <v>49</v>
      </c>
      <c r="F8" s="272"/>
      <c r="G8" s="272"/>
      <c r="H8" s="272"/>
      <c r="I8" s="272"/>
      <c r="J8" s="272"/>
      <c r="K8" s="272"/>
      <c r="L8" s="272"/>
      <c r="M8" s="272"/>
      <c r="N8" s="111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90"/>
      <c r="AA8" s="90"/>
      <c r="AB8" s="90"/>
      <c r="AC8" s="93"/>
      <c r="AD8" s="92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128"/>
      <c r="AS8" s="116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3"/>
    </row>
    <row r="9" spans="2:90">
      <c r="B9" s="284"/>
      <c r="C9" s="285"/>
      <c r="D9" s="285"/>
      <c r="E9" s="274" t="s">
        <v>51</v>
      </c>
      <c r="F9" s="275"/>
      <c r="G9" s="275"/>
      <c r="H9" s="275"/>
      <c r="I9" s="275"/>
      <c r="J9" s="275"/>
      <c r="K9" s="275"/>
      <c r="L9" s="275"/>
      <c r="M9" s="275"/>
      <c r="N9" s="112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78"/>
      <c r="AA9" s="78"/>
      <c r="AB9" s="78"/>
      <c r="AC9" s="94"/>
      <c r="AD9" s="79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129"/>
      <c r="AS9" s="113"/>
      <c r="AT9" s="70"/>
      <c r="AU9" s="70"/>
      <c r="AV9" s="70"/>
      <c r="AW9" s="70"/>
      <c r="AX9" s="70"/>
      <c r="AY9" s="70"/>
      <c r="AZ9" s="70"/>
      <c r="BA9" s="70"/>
      <c r="BB9" s="70"/>
      <c r="BC9" s="70"/>
      <c r="BD9" s="70"/>
      <c r="BE9" s="70"/>
      <c r="BF9" s="70"/>
      <c r="BG9" s="70"/>
      <c r="BH9" s="94"/>
    </row>
    <row r="10" spans="2:90">
      <c r="B10" s="284"/>
      <c r="C10" s="285"/>
      <c r="D10" s="285"/>
      <c r="E10" s="274" t="s">
        <v>8</v>
      </c>
      <c r="F10" s="275"/>
      <c r="G10" s="275"/>
      <c r="H10" s="275"/>
      <c r="I10" s="275"/>
      <c r="J10" s="275"/>
      <c r="K10" s="275"/>
      <c r="L10" s="275"/>
      <c r="M10" s="275"/>
      <c r="N10" s="112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78"/>
      <c r="AA10" s="78"/>
      <c r="AB10" s="78"/>
      <c r="AC10" s="94"/>
      <c r="AD10" s="79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129"/>
      <c r="AS10" s="113"/>
      <c r="AT10" s="70"/>
      <c r="AU10" s="70"/>
      <c r="AV10" s="70"/>
      <c r="AW10" s="70"/>
      <c r="AX10" s="70"/>
      <c r="AY10" s="70"/>
      <c r="AZ10" s="70"/>
      <c r="BA10" s="70"/>
      <c r="BB10" s="70"/>
      <c r="BC10" s="70"/>
      <c r="BD10" s="70"/>
      <c r="BE10" s="70"/>
      <c r="BF10" s="70"/>
      <c r="BG10" s="70"/>
      <c r="BH10" s="94"/>
    </row>
    <row r="11" spans="2:90">
      <c r="B11" s="284"/>
      <c r="C11" s="285"/>
      <c r="D11" s="285"/>
      <c r="E11" s="274" t="s">
        <v>9</v>
      </c>
      <c r="F11" s="275"/>
      <c r="G11" s="275"/>
      <c r="H11" s="275"/>
      <c r="I11" s="275"/>
      <c r="J11" s="275"/>
      <c r="K11" s="275"/>
      <c r="L11" s="275"/>
      <c r="M11" s="275"/>
      <c r="N11" s="112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78"/>
      <c r="AA11" s="78"/>
      <c r="AB11" s="78"/>
      <c r="AC11" s="94"/>
      <c r="AD11" s="79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129"/>
      <c r="AS11" s="113"/>
      <c r="AT11" s="70"/>
      <c r="AU11" s="70"/>
      <c r="AV11" s="70"/>
      <c r="AW11" s="70"/>
      <c r="AX11" s="70"/>
      <c r="AY11" s="70"/>
      <c r="AZ11" s="70"/>
      <c r="BA11" s="70"/>
      <c r="BB11" s="70"/>
      <c r="BC11" s="70"/>
      <c r="BD11" s="70"/>
      <c r="BE11" s="70"/>
      <c r="BF11" s="70"/>
      <c r="BG11" s="70"/>
      <c r="BH11" s="94"/>
    </row>
    <row r="12" spans="2:90">
      <c r="B12" s="284"/>
      <c r="C12" s="285"/>
      <c r="D12" s="285"/>
      <c r="E12" s="274" t="s">
        <v>10</v>
      </c>
      <c r="F12" s="275"/>
      <c r="G12" s="275"/>
      <c r="H12" s="275"/>
      <c r="I12" s="275"/>
      <c r="J12" s="275"/>
      <c r="K12" s="275"/>
      <c r="L12" s="275"/>
      <c r="M12" s="275"/>
      <c r="N12" s="112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78"/>
      <c r="AA12" s="78"/>
      <c r="AB12" s="78"/>
      <c r="AC12" s="94"/>
      <c r="AD12" s="79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129"/>
      <c r="AS12" s="113"/>
      <c r="AT12" s="70"/>
      <c r="AU12" s="70"/>
      <c r="AV12" s="70"/>
      <c r="AW12" s="70"/>
      <c r="AX12" s="70"/>
      <c r="AY12" s="70"/>
      <c r="AZ12" s="70"/>
      <c r="BA12" s="70"/>
      <c r="BB12" s="70"/>
      <c r="BC12" s="70"/>
      <c r="BD12" s="70"/>
      <c r="BE12" s="70"/>
      <c r="BF12" s="70"/>
      <c r="BG12" s="70"/>
      <c r="BH12" s="94"/>
    </row>
    <row r="13" spans="2:90">
      <c r="B13" s="284"/>
      <c r="C13" s="285"/>
      <c r="D13" s="285"/>
      <c r="E13" s="274" t="s">
        <v>12</v>
      </c>
      <c r="F13" s="275"/>
      <c r="G13" s="275"/>
      <c r="H13" s="275"/>
      <c r="I13" s="275"/>
      <c r="J13" s="275"/>
      <c r="K13" s="275"/>
      <c r="L13" s="275"/>
      <c r="M13" s="275"/>
      <c r="N13" s="112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78"/>
      <c r="AA13" s="78"/>
      <c r="AB13" s="78"/>
      <c r="AC13" s="94"/>
      <c r="AD13" s="79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129"/>
      <c r="AS13" s="113"/>
      <c r="AT13" s="70"/>
      <c r="AU13" s="70"/>
      <c r="AV13" s="70"/>
      <c r="AW13" s="70"/>
      <c r="AX13" s="70"/>
      <c r="AY13" s="70"/>
      <c r="AZ13" s="70"/>
      <c r="BA13" s="70"/>
      <c r="BB13" s="70"/>
      <c r="BC13" s="70"/>
      <c r="BD13" s="70"/>
      <c r="BE13" s="70"/>
      <c r="BF13" s="70"/>
      <c r="BG13" s="70"/>
      <c r="BH13" s="94"/>
    </row>
    <row r="14" spans="2:90">
      <c r="B14" s="284"/>
      <c r="C14" s="285"/>
      <c r="D14" s="285"/>
      <c r="E14" s="288" t="s">
        <v>16</v>
      </c>
      <c r="F14" s="289"/>
      <c r="G14" s="289"/>
      <c r="H14" s="289"/>
      <c r="I14" s="289"/>
      <c r="J14" s="289"/>
      <c r="K14" s="289"/>
      <c r="L14" s="289"/>
      <c r="M14" s="289"/>
      <c r="N14" s="137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38"/>
      <c r="AA14" s="138"/>
      <c r="AB14" s="138"/>
      <c r="AC14" s="107"/>
      <c r="AD14" s="139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30"/>
      <c r="AS14" s="114"/>
      <c r="AT14" s="105"/>
      <c r="AU14" s="105"/>
      <c r="AV14" s="105"/>
      <c r="AW14" s="105"/>
      <c r="AX14" s="105"/>
      <c r="AY14" s="105"/>
      <c r="AZ14" s="105"/>
      <c r="BA14" s="105"/>
      <c r="BB14" s="105"/>
      <c r="BC14" s="105"/>
      <c r="BD14" s="105"/>
      <c r="BE14" s="105"/>
      <c r="BF14" s="155"/>
      <c r="BG14" s="155"/>
      <c r="BH14" s="156"/>
      <c r="BI14" s="157"/>
      <c r="BJ14" s="157"/>
      <c r="BK14" s="157"/>
      <c r="BL14" s="157"/>
      <c r="BM14" s="157"/>
      <c r="BN14" s="157"/>
      <c r="BO14" s="157"/>
      <c r="BP14" s="157"/>
      <c r="BQ14" s="157"/>
      <c r="BR14" s="157"/>
      <c r="BS14" s="157"/>
    </row>
    <row r="15" spans="2:90">
      <c r="B15" s="284"/>
      <c r="C15" s="285"/>
      <c r="D15" s="285"/>
      <c r="E15" s="290" t="s">
        <v>145</v>
      </c>
      <c r="F15" s="291"/>
      <c r="G15" s="291"/>
      <c r="H15" s="291"/>
      <c r="I15" s="291"/>
      <c r="J15" s="291"/>
      <c r="K15" s="291"/>
      <c r="L15" s="291"/>
      <c r="M15" s="291"/>
      <c r="N15" s="14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86"/>
      <c r="AA15" s="86"/>
      <c r="AB15" s="86"/>
      <c r="AC15" s="96"/>
      <c r="AD15" s="87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143"/>
      <c r="AS15" s="142"/>
      <c r="AT15" s="72"/>
      <c r="AU15" s="72"/>
      <c r="AV15" s="72"/>
      <c r="AW15" s="72"/>
      <c r="AX15" s="72"/>
      <c r="AY15" s="72"/>
      <c r="AZ15" s="72"/>
      <c r="BA15" s="72"/>
      <c r="BB15" s="72"/>
      <c r="BC15" s="72"/>
      <c r="BD15" s="72"/>
      <c r="BE15" s="72"/>
      <c r="BF15" s="158"/>
      <c r="BG15" s="158"/>
      <c r="BH15" s="159"/>
      <c r="BI15" s="157"/>
      <c r="BJ15" s="157"/>
      <c r="BK15" s="157"/>
      <c r="BL15" s="157"/>
      <c r="BM15" s="157"/>
      <c r="BN15" s="157"/>
      <c r="BO15" s="157"/>
      <c r="BP15" s="157"/>
      <c r="BQ15" s="157"/>
      <c r="BR15" s="157"/>
      <c r="BS15" s="157"/>
    </row>
    <row r="16" spans="2:90">
      <c r="B16" s="284"/>
      <c r="C16" s="285"/>
      <c r="D16" s="285"/>
      <c r="E16" s="292" t="s">
        <v>144</v>
      </c>
      <c r="F16" s="293"/>
      <c r="G16" s="293"/>
      <c r="H16" s="293"/>
      <c r="I16" s="293"/>
      <c r="J16" s="293"/>
      <c r="K16" s="293"/>
      <c r="L16" s="293"/>
      <c r="M16" s="293"/>
      <c r="N16" s="144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83"/>
      <c r="AA16" s="83"/>
      <c r="AB16" s="83"/>
      <c r="AC16" s="95"/>
      <c r="AD16" s="80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145"/>
      <c r="AS16" s="144"/>
      <c r="AT16" s="71"/>
      <c r="AU16" s="71"/>
      <c r="AV16" s="71"/>
      <c r="AW16" s="71"/>
      <c r="AX16" s="71"/>
      <c r="AY16" s="71"/>
      <c r="AZ16" s="71"/>
      <c r="BA16" s="71"/>
      <c r="BB16" s="71"/>
      <c r="BC16" s="71"/>
      <c r="BD16" s="71"/>
      <c r="BE16" s="71"/>
      <c r="BF16" s="160"/>
      <c r="BG16" s="160"/>
      <c r="BH16" s="161"/>
      <c r="BI16" s="157"/>
      <c r="BJ16" s="157"/>
      <c r="BK16" s="157"/>
      <c r="BL16" s="157"/>
      <c r="BM16" s="157"/>
      <c r="BN16" s="157"/>
      <c r="BO16" s="157"/>
      <c r="BP16" s="157"/>
      <c r="BQ16" s="157"/>
      <c r="BR16" s="157"/>
      <c r="BS16" s="157"/>
    </row>
    <row r="17" spans="2:71">
      <c r="B17" s="284"/>
      <c r="C17" s="285"/>
      <c r="D17" s="285"/>
      <c r="E17" s="294" t="s">
        <v>24</v>
      </c>
      <c r="F17" s="295"/>
      <c r="G17" s="295"/>
      <c r="H17" s="295"/>
      <c r="I17" s="295"/>
      <c r="J17" s="295"/>
      <c r="K17" s="295"/>
      <c r="L17" s="295"/>
      <c r="M17" s="295"/>
      <c r="N17" s="118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140"/>
      <c r="AD17" s="141"/>
      <c r="AE17" s="85"/>
      <c r="AF17" s="85"/>
      <c r="AG17" s="85"/>
      <c r="AH17" s="85"/>
      <c r="AI17" s="85"/>
      <c r="AJ17" s="69"/>
      <c r="AK17" s="69"/>
      <c r="AL17" s="69"/>
      <c r="AM17" s="69"/>
      <c r="AN17" s="69"/>
      <c r="AO17" s="69"/>
      <c r="AP17" s="69"/>
      <c r="AQ17" s="69"/>
      <c r="AR17" s="133"/>
      <c r="AS17" s="118"/>
      <c r="AT17" s="69"/>
      <c r="AU17" s="69"/>
      <c r="AV17" s="69"/>
      <c r="AW17" s="69"/>
      <c r="AX17" s="69"/>
      <c r="AY17" s="69"/>
      <c r="AZ17" s="69"/>
      <c r="BA17" s="69"/>
      <c r="BB17" s="69"/>
      <c r="BC17" s="69"/>
      <c r="BD17" s="69"/>
      <c r="BE17" s="69"/>
      <c r="BF17" s="162"/>
      <c r="BG17" s="162"/>
      <c r="BH17" s="163"/>
      <c r="BI17" s="157"/>
      <c r="BJ17" s="157"/>
      <c r="BK17" s="157"/>
      <c r="BL17" s="157"/>
      <c r="BM17" s="157"/>
      <c r="BN17" s="157"/>
      <c r="BO17" s="157"/>
      <c r="BP17" s="157"/>
      <c r="BQ17" s="157"/>
      <c r="BR17" s="157"/>
      <c r="BS17" s="157"/>
    </row>
    <row r="18" spans="2:71" ht="13.8" thickBot="1">
      <c r="B18" s="284"/>
      <c r="C18" s="285"/>
      <c r="D18" s="285"/>
      <c r="E18" s="288" t="s">
        <v>29</v>
      </c>
      <c r="F18" s="289"/>
      <c r="G18" s="289"/>
      <c r="H18" s="289"/>
      <c r="I18" s="289"/>
      <c r="J18" s="289"/>
      <c r="K18" s="289"/>
      <c r="L18" s="289"/>
      <c r="M18" s="289"/>
      <c r="N18" s="114"/>
      <c r="O18" s="105"/>
      <c r="P18" s="105"/>
      <c r="Q18" s="105"/>
      <c r="R18" s="105"/>
      <c r="S18" s="105"/>
      <c r="T18" s="105"/>
      <c r="U18" s="105"/>
      <c r="V18" s="105"/>
      <c r="W18" s="105"/>
      <c r="X18" s="105"/>
      <c r="Y18" s="105"/>
      <c r="Z18" s="105"/>
      <c r="AA18" s="105"/>
      <c r="AB18" s="105"/>
      <c r="AC18" s="115"/>
      <c r="AD18" s="108"/>
      <c r="AE18" s="106"/>
      <c r="AF18" s="106"/>
      <c r="AG18" s="106"/>
      <c r="AH18" s="106"/>
      <c r="AI18" s="106"/>
      <c r="AJ18" s="105"/>
      <c r="AK18" s="105"/>
      <c r="AL18" s="105"/>
      <c r="AM18" s="105"/>
      <c r="AN18" s="105"/>
      <c r="AO18" s="105"/>
      <c r="AP18" s="105"/>
      <c r="AQ18" s="105"/>
      <c r="AR18" s="130"/>
      <c r="AS18" s="114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7"/>
    </row>
    <row r="19" spans="2:71">
      <c r="B19" s="282" t="s">
        <v>105</v>
      </c>
      <c r="C19" s="283"/>
      <c r="D19" s="283"/>
      <c r="E19" s="271" t="s">
        <v>62</v>
      </c>
      <c r="F19" s="272"/>
      <c r="G19" s="272"/>
      <c r="H19" s="272"/>
      <c r="I19" s="272"/>
      <c r="J19" s="272"/>
      <c r="K19" s="272"/>
      <c r="L19" s="272"/>
      <c r="M19" s="272"/>
      <c r="N19" s="116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3"/>
      <c r="AD19" s="92"/>
      <c r="AE19" s="91"/>
      <c r="AF19" s="91"/>
      <c r="AG19" s="91"/>
      <c r="AH19" s="91"/>
      <c r="AI19" s="91"/>
      <c r="AJ19" s="89"/>
      <c r="AK19" s="89"/>
      <c r="AL19" s="89"/>
      <c r="AM19" s="89"/>
      <c r="AN19" s="89"/>
      <c r="AO19" s="89"/>
      <c r="AP19" s="91"/>
      <c r="AQ19" s="91"/>
      <c r="AR19" s="128"/>
      <c r="AS19" s="116"/>
      <c r="AT19" s="91"/>
      <c r="AU19" s="91"/>
      <c r="AV19" s="91"/>
      <c r="AW19" s="91"/>
      <c r="AX19" s="91"/>
      <c r="AY19" s="91"/>
      <c r="AZ19" s="91"/>
      <c r="BA19" s="91"/>
      <c r="BB19" s="91"/>
      <c r="BC19" s="91"/>
      <c r="BD19" s="91"/>
      <c r="BE19" s="91"/>
      <c r="BF19" s="91"/>
      <c r="BG19" s="91"/>
      <c r="BH19" s="93"/>
    </row>
    <row r="20" spans="2:71">
      <c r="B20" s="284"/>
      <c r="C20" s="285"/>
      <c r="D20" s="285"/>
      <c r="E20" s="274" t="s">
        <v>63</v>
      </c>
      <c r="F20" s="275"/>
      <c r="G20" s="275"/>
      <c r="H20" s="275"/>
      <c r="I20" s="275"/>
      <c r="J20" s="275"/>
      <c r="K20" s="275"/>
      <c r="L20" s="275"/>
      <c r="M20" s="275"/>
      <c r="N20" s="113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94"/>
      <c r="AD20" s="79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81"/>
      <c r="AQ20" s="81"/>
      <c r="AR20" s="129"/>
      <c r="AS20" s="113"/>
      <c r="AT20" s="70"/>
      <c r="AU20" s="70"/>
      <c r="AV20" s="70"/>
      <c r="AW20" s="70"/>
      <c r="AX20" s="70"/>
      <c r="AY20" s="70"/>
      <c r="AZ20" s="70"/>
      <c r="BA20" s="70"/>
      <c r="BB20" s="70"/>
      <c r="BC20" s="70"/>
      <c r="BD20" s="70"/>
      <c r="BE20" s="70"/>
      <c r="BF20" s="70"/>
      <c r="BG20" s="70"/>
      <c r="BH20" s="94"/>
    </row>
    <row r="21" spans="2:71">
      <c r="B21" s="284"/>
      <c r="C21" s="285"/>
      <c r="D21" s="285"/>
      <c r="E21" s="274" t="s">
        <v>64</v>
      </c>
      <c r="F21" s="275"/>
      <c r="G21" s="275"/>
      <c r="H21" s="275"/>
      <c r="I21" s="275"/>
      <c r="J21" s="275"/>
      <c r="K21" s="275"/>
      <c r="L21" s="275"/>
      <c r="M21" s="275"/>
      <c r="N21" s="113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94"/>
      <c r="AD21" s="79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131"/>
      <c r="AS21" s="112"/>
      <c r="AT21" s="81"/>
      <c r="AU21" s="81"/>
      <c r="AV21" s="70"/>
      <c r="AW21" s="70"/>
      <c r="AX21" s="70"/>
      <c r="AY21" s="70"/>
      <c r="AZ21" s="70"/>
      <c r="BA21" s="70"/>
      <c r="BB21" s="70"/>
      <c r="BC21" s="70"/>
      <c r="BD21" s="70"/>
      <c r="BE21" s="70"/>
      <c r="BF21" s="70"/>
      <c r="BG21" s="70"/>
      <c r="BH21" s="94"/>
    </row>
    <row r="22" spans="2:71">
      <c r="B22" s="284"/>
      <c r="C22" s="285"/>
      <c r="D22" s="285"/>
      <c r="E22" s="274" t="s">
        <v>67</v>
      </c>
      <c r="F22" s="275"/>
      <c r="G22" s="275"/>
      <c r="H22" s="275"/>
      <c r="I22" s="275"/>
      <c r="J22" s="275"/>
      <c r="K22" s="275"/>
      <c r="L22" s="275"/>
      <c r="M22" s="275"/>
      <c r="N22" s="113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94"/>
      <c r="AD22" s="79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129"/>
      <c r="AS22" s="113"/>
      <c r="AT22" s="70"/>
      <c r="AU22" s="70"/>
      <c r="AV22" s="81"/>
      <c r="AW22" s="81"/>
      <c r="AX22" s="81"/>
      <c r="AY22" s="81"/>
      <c r="AZ22" s="70"/>
      <c r="BA22" s="70"/>
      <c r="BB22" s="70"/>
      <c r="BC22" s="70"/>
      <c r="BD22" s="70"/>
      <c r="BE22" s="70"/>
      <c r="BF22" s="70"/>
      <c r="BG22" s="70"/>
      <c r="BH22" s="94"/>
    </row>
    <row r="23" spans="2:71" ht="13.8" thickBot="1">
      <c r="B23" s="286"/>
      <c r="C23" s="287"/>
      <c r="D23" s="287"/>
      <c r="E23" s="277" t="s">
        <v>68</v>
      </c>
      <c r="F23" s="278"/>
      <c r="G23" s="278"/>
      <c r="H23" s="278"/>
      <c r="I23" s="278"/>
      <c r="J23" s="278"/>
      <c r="K23" s="278"/>
      <c r="L23" s="278"/>
      <c r="M23" s="278"/>
      <c r="N23" s="117"/>
      <c r="O23" s="97"/>
      <c r="P23" s="97"/>
      <c r="Q23" s="97"/>
      <c r="R23" s="97"/>
      <c r="S23" s="97"/>
      <c r="T23" s="97"/>
      <c r="U23" s="97"/>
      <c r="V23" s="97"/>
      <c r="W23" s="97"/>
      <c r="X23" s="97"/>
      <c r="Y23" s="97"/>
      <c r="Z23" s="97"/>
      <c r="AA23" s="97"/>
      <c r="AB23" s="97"/>
      <c r="AC23" s="100"/>
      <c r="AD23" s="99"/>
      <c r="AE23" s="97"/>
      <c r="AF23" s="97"/>
      <c r="AG23" s="97"/>
      <c r="AH23" s="97"/>
      <c r="AI23" s="97"/>
      <c r="AJ23" s="97"/>
      <c r="AK23" s="97"/>
      <c r="AL23" s="97"/>
      <c r="AM23" s="97"/>
      <c r="AN23" s="97"/>
      <c r="AO23" s="97"/>
      <c r="AP23" s="97"/>
      <c r="AQ23" s="97"/>
      <c r="AR23" s="132"/>
      <c r="AS23" s="117"/>
      <c r="AT23" s="97"/>
      <c r="AU23" s="97"/>
      <c r="AV23" s="97"/>
      <c r="AW23" s="97"/>
      <c r="AX23" s="97"/>
      <c r="AY23" s="97"/>
      <c r="AZ23" s="98"/>
      <c r="BA23" s="98"/>
      <c r="BB23" s="98"/>
      <c r="BC23" s="98"/>
      <c r="BD23" s="97"/>
      <c r="BE23" s="97"/>
      <c r="BF23" s="97"/>
      <c r="BG23" s="97"/>
      <c r="BH23" s="100"/>
    </row>
    <row r="24" spans="2:71">
      <c r="B24" s="284" t="s">
        <v>106</v>
      </c>
      <c r="C24" s="285"/>
      <c r="D24" s="285"/>
      <c r="E24" s="294" t="s">
        <v>62</v>
      </c>
      <c r="F24" s="295"/>
      <c r="G24" s="295"/>
      <c r="H24" s="295"/>
      <c r="I24" s="295"/>
      <c r="J24" s="295"/>
      <c r="K24" s="295"/>
      <c r="L24" s="295"/>
      <c r="M24" s="295"/>
      <c r="N24" s="118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102"/>
      <c r="AD24" s="88"/>
      <c r="AE24" s="69"/>
      <c r="AF24" s="69"/>
      <c r="AG24" s="69"/>
      <c r="AH24" s="69"/>
      <c r="AI24" s="69"/>
      <c r="AJ24" s="69"/>
      <c r="AK24" s="69"/>
      <c r="AL24" s="69"/>
      <c r="AM24" s="69"/>
      <c r="AN24" s="69"/>
      <c r="AO24" s="69"/>
      <c r="AP24" s="69"/>
      <c r="AQ24" s="69"/>
      <c r="AR24" s="133"/>
      <c r="AS24" s="134"/>
      <c r="AT24" s="84"/>
      <c r="AU24" s="84"/>
      <c r="AV24" s="84"/>
      <c r="AW24" s="84"/>
      <c r="AX24" s="84"/>
      <c r="AY24" s="69"/>
      <c r="AZ24" s="69"/>
      <c r="BA24" s="69"/>
      <c r="BB24" s="69"/>
      <c r="BC24" s="69"/>
      <c r="BD24" s="69"/>
      <c r="BE24" s="69"/>
      <c r="BF24" s="69"/>
      <c r="BG24" s="69"/>
      <c r="BH24" s="102"/>
    </row>
    <row r="25" spans="2:71">
      <c r="B25" s="284"/>
      <c r="C25" s="285"/>
      <c r="D25" s="285"/>
      <c r="E25" s="274" t="s">
        <v>63</v>
      </c>
      <c r="F25" s="275"/>
      <c r="G25" s="275"/>
      <c r="H25" s="275"/>
      <c r="I25" s="275"/>
      <c r="J25" s="275"/>
      <c r="K25" s="275"/>
      <c r="L25" s="275"/>
      <c r="M25" s="275"/>
      <c r="N25" s="113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94"/>
      <c r="AD25" s="79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129"/>
      <c r="AS25" s="113"/>
      <c r="AT25" s="70"/>
      <c r="AU25" s="70"/>
      <c r="AV25" s="70"/>
      <c r="AW25" s="70"/>
      <c r="AX25" s="70"/>
      <c r="AY25" s="82"/>
      <c r="AZ25" s="82"/>
      <c r="BA25" s="70"/>
      <c r="BB25" s="70"/>
      <c r="BC25" s="70"/>
      <c r="BD25" s="70"/>
      <c r="BE25" s="70"/>
      <c r="BF25" s="70"/>
      <c r="BG25" s="70"/>
      <c r="BH25" s="94"/>
    </row>
    <row r="26" spans="2:71">
      <c r="B26" s="284"/>
      <c r="C26" s="285"/>
      <c r="D26" s="285"/>
      <c r="E26" s="274" t="s">
        <v>64</v>
      </c>
      <c r="F26" s="275"/>
      <c r="G26" s="275"/>
      <c r="H26" s="275"/>
      <c r="I26" s="275"/>
      <c r="J26" s="275"/>
      <c r="K26" s="275"/>
      <c r="L26" s="275"/>
      <c r="M26" s="275"/>
      <c r="N26" s="113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94"/>
      <c r="AD26" s="79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129"/>
      <c r="AS26" s="113"/>
      <c r="AT26" s="70"/>
      <c r="AU26" s="70"/>
      <c r="AV26" s="70"/>
      <c r="AW26" s="70"/>
      <c r="AX26" s="70"/>
      <c r="AY26" s="70"/>
      <c r="AZ26" s="70"/>
      <c r="BA26" s="82"/>
      <c r="BB26" s="82"/>
      <c r="BC26" s="82"/>
      <c r="BD26" s="70"/>
      <c r="BE26" s="70"/>
      <c r="BF26" s="70"/>
      <c r="BG26" s="70"/>
      <c r="BH26" s="94"/>
    </row>
    <row r="27" spans="2:71">
      <c r="B27" s="284"/>
      <c r="C27" s="285"/>
      <c r="D27" s="285"/>
      <c r="E27" s="274" t="s">
        <v>67</v>
      </c>
      <c r="F27" s="275"/>
      <c r="G27" s="275"/>
      <c r="H27" s="275"/>
      <c r="I27" s="275"/>
      <c r="J27" s="275"/>
      <c r="K27" s="275"/>
      <c r="L27" s="275"/>
      <c r="M27" s="275"/>
      <c r="N27" s="113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94"/>
      <c r="AD27" s="79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129"/>
      <c r="AS27" s="113"/>
      <c r="AT27" s="70"/>
      <c r="AU27" s="70"/>
      <c r="AV27" s="70"/>
      <c r="AW27" s="70"/>
      <c r="AX27" s="70"/>
      <c r="AY27" s="70"/>
      <c r="AZ27" s="70"/>
      <c r="BA27" s="70"/>
      <c r="BB27" s="70"/>
      <c r="BC27" s="70"/>
      <c r="BD27" s="82"/>
      <c r="BE27" s="82"/>
      <c r="BF27" s="82"/>
      <c r="BG27" s="70"/>
      <c r="BH27" s="94"/>
    </row>
    <row r="28" spans="2:71" ht="13.8" thickBot="1">
      <c r="B28" s="286"/>
      <c r="C28" s="287"/>
      <c r="D28" s="287"/>
      <c r="E28" s="277" t="s">
        <v>68</v>
      </c>
      <c r="F28" s="278"/>
      <c r="G28" s="278"/>
      <c r="H28" s="278"/>
      <c r="I28" s="278"/>
      <c r="J28" s="278"/>
      <c r="K28" s="278"/>
      <c r="L28" s="278"/>
      <c r="M28" s="278"/>
      <c r="N28" s="11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7"/>
      <c r="AC28" s="100"/>
      <c r="AD28" s="99"/>
      <c r="AE28" s="97"/>
      <c r="AF28" s="97"/>
      <c r="AG28" s="97"/>
      <c r="AH28" s="97"/>
      <c r="AI28" s="97"/>
      <c r="AJ28" s="97"/>
      <c r="AK28" s="97"/>
      <c r="AL28" s="97"/>
      <c r="AM28" s="97"/>
      <c r="AN28" s="97"/>
      <c r="AO28" s="97"/>
      <c r="AP28" s="97"/>
      <c r="AQ28" s="97"/>
      <c r="AR28" s="132"/>
      <c r="AS28" s="117"/>
      <c r="AT28" s="97"/>
      <c r="AU28" s="97"/>
      <c r="AV28" s="97"/>
      <c r="AW28" s="97"/>
      <c r="AX28" s="97"/>
      <c r="AY28" s="97"/>
      <c r="AZ28" s="97"/>
      <c r="BA28" s="97"/>
      <c r="BB28" s="97"/>
      <c r="BC28" s="97"/>
      <c r="BD28" s="97"/>
      <c r="BE28" s="97"/>
      <c r="BF28" s="97"/>
      <c r="BG28" s="103"/>
      <c r="BH28" s="104"/>
    </row>
    <row r="29" spans="2:71" ht="13.8" thickBot="1"/>
    <row r="30" spans="2:71">
      <c r="B30" s="265" t="s">
        <v>146</v>
      </c>
      <c r="C30" s="266"/>
      <c r="D30" s="266"/>
      <c r="E30" s="271" t="s">
        <v>64</v>
      </c>
      <c r="F30" s="272"/>
      <c r="G30" s="272"/>
      <c r="H30" s="272"/>
      <c r="I30" s="272"/>
      <c r="J30" s="272"/>
      <c r="K30" s="272"/>
      <c r="L30" s="272"/>
      <c r="M30" s="273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23"/>
      <c r="AE30" s="119"/>
      <c r="AF30" s="119"/>
      <c r="AG30" s="119"/>
      <c r="AH30" s="119"/>
      <c r="AI30" s="119"/>
      <c r="AJ30" s="119"/>
      <c r="AK30" s="119"/>
      <c r="AL30" s="119"/>
      <c r="AM30" s="119"/>
      <c r="AN30" s="119"/>
      <c r="AO30" s="119"/>
      <c r="AP30" s="119"/>
      <c r="AQ30" s="119"/>
      <c r="AR30" s="119"/>
      <c r="AS30" s="123"/>
      <c r="AT30" s="119"/>
      <c r="AU30" s="119"/>
      <c r="AV30" s="119"/>
      <c r="AW30" s="119"/>
      <c r="AX30" s="119"/>
      <c r="AY30" s="119"/>
      <c r="AZ30" s="119"/>
      <c r="BA30" s="119"/>
      <c r="BB30" s="146"/>
      <c r="BC30" s="120"/>
      <c r="BD30" s="120"/>
      <c r="BE30" s="119"/>
      <c r="BF30" s="119"/>
      <c r="BG30" s="119"/>
      <c r="BH30" s="124"/>
      <c r="BI30" s="147"/>
      <c r="BJ30" s="147"/>
      <c r="BK30" s="147"/>
      <c r="BL30" s="147"/>
      <c r="BM30" s="147"/>
      <c r="BN30" s="147"/>
      <c r="BO30" s="147"/>
      <c r="BP30" s="147"/>
      <c r="BQ30" s="147"/>
      <c r="BR30" s="147"/>
      <c r="BS30" s="148"/>
    </row>
    <row r="31" spans="2:71">
      <c r="B31" s="267"/>
      <c r="C31" s="268"/>
      <c r="D31" s="268"/>
      <c r="E31" s="274" t="s">
        <v>67</v>
      </c>
      <c r="F31" s="275"/>
      <c r="G31" s="275"/>
      <c r="H31" s="275"/>
      <c r="I31" s="275"/>
      <c r="J31" s="275"/>
      <c r="K31" s="275"/>
      <c r="L31" s="275"/>
      <c r="M31" s="276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7"/>
      <c r="AC31" s="77"/>
      <c r="AD31" s="125"/>
      <c r="AE31" s="77"/>
      <c r="AF31" s="77"/>
      <c r="AG31" s="77"/>
      <c r="AH31" s="77"/>
      <c r="AI31" s="77"/>
      <c r="AJ31" s="77"/>
      <c r="AK31" s="77"/>
      <c r="AL31" s="77"/>
      <c r="AM31" s="77"/>
      <c r="AN31" s="77"/>
      <c r="AO31" s="77"/>
      <c r="AP31" s="77"/>
      <c r="AQ31" s="77"/>
      <c r="AR31" s="77"/>
      <c r="AS31" s="125"/>
      <c r="AT31" s="77"/>
      <c r="AU31" s="77"/>
      <c r="AV31" s="77"/>
      <c r="AW31" s="77"/>
      <c r="AX31" s="77"/>
      <c r="AY31" s="77"/>
      <c r="AZ31" s="77"/>
      <c r="BA31" s="77"/>
      <c r="BB31" s="125"/>
      <c r="BC31" s="77"/>
      <c r="BD31" s="77"/>
      <c r="BE31" s="121"/>
      <c r="BF31" s="121"/>
      <c r="BG31" s="77"/>
      <c r="BH31" s="126"/>
      <c r="BI31" s="149"/>
      <c r="BJ31" s="149"/>
      <c r="BK31" s="149"/>
      <c r="BL31" s="149"/>
      <c r="BM31" s="149"/>
      <c r="BN31" s="149"/>
      <c r="BO31" s="149"/>
      <c r="BP31" s="149"/>
      <c r="BQ31" s="149"/>
      <c r="BR31" s="149"/>
      <c r="BS31" s="150"/>
    </row>
    <row r="32" spans="2:71" ht="13.8" thickBot="1">
      <c r="B32" s="269"/>
      <c r="C32" s="270"/>
      <c r="D32" s="270"/>
      <c r="E32" s="277" t="s">
        <v>68</v>
      </c>
      <c r="F32" s="278"/>
      <c r="G32" s="278"/>
      <c r="H32" s="278"/>
      <c r="I32" s="278"/>
      <c r="J32" s="278"/>
      <c r="K32" s="278"/>
      <c r="L32" s="278"/>
      <c r="M32" s="279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7"/>
      <c r="AE32" s="122"/>
      <c r="AF32" s="122"/>
      <c r="AG32" s="122"/>
      <c r="AH32" s="122"/>
      <c r="AI32" s="122"/>
      <c r="AJ32" s="122"/>
      <c r="AK32" s="122"/>
      <c r="AL32" s="122"/>
      <c r="AM32" s="122"/>
      <c r="AN32" s="122"/>
      <c r="AO32" s="122"/>
      <c r="AP32" s="122"/>
      <c r="AQ32" s="122"/>
      <c r="AR32" s="122"/>
      <c r="AS32" s="127"/>
      <c r="AT32" s="122"/>
      <c r="AU32" s="122"/>
      <c r="AV32" s="122"/>
      <c r="AW32" s="122"/>
      <c r="AX32" s="122"/>
      <c r="AY32" s="122"/>
      <c r="AZ32" s="122"/>
      <c r="BA32" s="122"/>
      <c r="BB32" s="127"/>
      <c r="BC32" s="122"/>
      <c r="BD32" s="122"/>
      <c r="BE32" s="122"/>
      <c r="BF32" s="122"/>
      <c r="BG32" s="135"/>
      <c r="BH32" s="136"/>
      <c r="BI32" s="151"/>
      <c r="BJ32" s="151"/>
      <c r="BK32" s="151"/>
      <c r="BL32" s="151"/>
      <c r="BM32" s="151"/>
      <c r="BN32" s="151"/>
      <c r="BO32" s="151"/>
      <c r="BP32" s="151"/>
      <c r="BQ32" s="151"/>
      <c r="BR32" s="151"/>
      <c r="BS32" s="152"/>
    </row>
    <row r="35" spans="2:90" ht="13.8" thickBot="1">
      <c r="B35" t="s">
        <v>149</v>
      </c>
    </row>
    <row r="36" spans="2:90" ht="28.8" customHeight="1">
      <c r="B36" s="296" t="s">
        <v>121</v>
      </c>
      <c r="C36" s="297"/>
      <c r="D36" s="298"/>
      <c r="E36" s="302" t="s">
        <v>46</v>
      </c>
      <c r="F36" s="303"/>
      <c r="G36" s="303"/>
      <c r="H36" s="303"/>
      <c r="I36" s="303"/>
      <c r="J36" s="303"/>
      <c r="K36" s="303"/>
      <c r="L36" s="303"/>
      <c r="M36" s="303"/>
      <c r="N36" s="253" t="s">
        <v>141</v>
      </c>
      <c r="O36" s="254"/>
      <c r="P36" s="254"/>
      <c r="Q36" s="254"/>
      <c r="R36" s="254"/>
      <c r="S36" s="254"/>
      <c r="T36" s="254"/>
      <c r="U36" s="254"/>
      <c r="V36" s="254"/>
      <c r="W36" s="254"/>
      <c r="X36" s="254"/>
      <c r="Y36" s="254"/>
      <c r="Z36" s="254"/>
      <c r="AA36" s="254"/>
      <c r="AB36" s="254"/>
      <c r="AC36" s="255"/>
      <c r="AD36" s="306" t="s">
        <v>142</v>
      </c>
      <c r="AE36" s="254"/>
      <c r="AF36" s="254"/>
      <c r="AG36" s="254"/>
      <c r="AH36" s="254"/>
      <c r="AI36" s="254"/>
      <c r="AJ36" s="254"/>
      <c r="AK36" s="254"/>
      <c r="AL36" s="254"/>
      <c r="AM36" s="254"/>
      <c r="AN36" s="254"/>
      <c r="AO36" s="254"/>
      <c r="AP36" s="254"/>
      <c r="AQ36" s="254"/>
      <c r="AR36" s="307"/>
      <c r="AS36" s="253" t="s">
        <v>143</v>
      </c>
      <c r="AT36" s="254"/>
      <c r="AU36" s="254"/>
      <c r="AV36" s="254"/>
      <c r="AW36" s="254"/>
      <c r="AX36" s="254"/>
      <c r="AY36" s="254"/>
      <c r="AZ36" s="254"/>
      <c r="BA36" s="254"/>
      <c r="BB36" s="254"/>
      <c r="BC36" s="254"/>
      <c r="BD36" s="254"/>
      <c r="BE36" s="254"/>
      <c r="BF36" s="254"/>
      <c r="BG36" s="254"/>
      <c r="BH36" s="255"/>
      <c r="BI36" s="253" t="s">
        <v>151</v>
      </c>
      <c r="BJ36" s="254"/>
      <c r="BK36" s="254"/>
      <c r="BL36" s="254"/>
      <c r="BM36" s="254"/>
      <c r="BN36" s="254"/>
      <c r="BO36" s="254"/>
      <c r="BP36" s="254"/>
      <c r="BQ36" s="254"/>
      <c r="BR36" s="254"/>
      <c r="BS36" s="254"/>
      <c r="BT36" s="254"/>
      <c r="BU36" s="254"/>
      <c r="BV36" s="254"/>
      <c r="BW36" s="254"/>
      <c r="BX36" s="255"/>
    </row>
    <row r="37" spans="2:90" s="74" customFormat="1" ht="17.399999999999999" customHeight="1" thickBot="1">
      <c r="B37" s="299"/>
      <c r="C37" s="300"/>
      <c r="D37" s="301"/>
      <c r="E37" s="304"/>
      <c r="F37" s="305"/>
      <c r="G37" s="305"/>
      <c r="H37" s="305"/>
      <c r="I37" s="305"/>
      <c r="J37" s="305"/>
      <c r="K37" s="305"/>
      <c r="L37" s="305"/>
      <c r="M37" s="305"/>
      <c r="N37" s="109">
        <v>1</v>
      </c>
      <c r="O37" s="76">
        <v>3</v>
      </c>
      <c r="P37" s="76">
        <v>5</v>
      </c>
      <c r="Q37" s="75">
        <v>7</v>
      </c>
      <c r="R37" s="76">
        <v>9</v>
      </c>
      <c r="S37" s="76">
        <v>11</v>
      </c>
      <c r="T37" s="75">
        <v>13</v>
      </c>
      <c r="U37" s="76">
        <v>15</v>
      </c>
      <c r="V37" s="76">
        <v>17</v>
      </c>
      <c r="W37" s="75">
        <v>19</v>
      </c>
      <c r="X37" s="76">
        <v>21</v>
      </c>
      <c r="Y37" s="76">
        <v>23</v>
      </c>
      <c r="Z37" s="75">
        <v>25</v>
      </c>
      <c r="AA37" s="76">
        <v>27</v>
      </c>
      <c r="AB37" s="76">
        <v>29</v>
      </c>
      <c r="AC37" s="110">
        <v>31</v>
      </c>
      <c r="AD37" s="76">
        <v>1</v>
      </c>
      <c r="AE37" s="76">
        <v>3</v>
      </c>
      <c r="AF37" s="76">
        <v>5</v>
      </c>
      <c r="AG37" s="75">
        <v>7</v>
      </c>
      <c r="AH37" s="76">
        <v>9</v>
      </c>
      <c r="AI37" s="76">
        <v>11</v>
      </c>
      <c r="AJ37" s="75">
        <v>13</v>
      </c>
      <c r="AK37" s="76">
        <v>15</v>
      </c>
      <c r="AL37" s="76">
        <v>17</v>
      </c>
      <c r="AM37" s="75">
        <v>19</v>
      </c>
      <c r="AN37" s="76">
        <v>21</v>
      </c>
      <c r="AO37" s="76">
        <v>23</v>
      </c>
      <c r="AP37" s="75">
        <v>25</v>
      </c>
      <c r="AQ37" s="76">
        <v>27</v>
      </c>
      <c r="AR37" s="76">
        <v>29</v>
      </c>
      <c r="AS37" s="109">
        <v>1</v>
      </c>
      <c r="AT37" s="76">
        <v>3</v>
      </c>
      <c r="AU37" s="76">
        <v>5</v>
      </c>
      <c r="AV37" s="75">
        <v>7</v>
      </c>
      <c r="AW37" s="76">
        <v>9</v>
      </c>
      <c r="AX37" s="76">
        <v>11</v>
      </c>
      <c r="AY37" s="75">
        <v>13</v>
      </c>
      <c r="AZ37" s="76">
        <v>15</v>
      </c>
      <c r="BA37" s="76">
        <v>17</v>
      </c>
      <c r="BB37" s="75">
        <v>19</v>
      </c>
      <c r="BC37" s="76">
        <v>21</v>
      </c>
      <c r="BD37" s="76">
        <v>23</v>
      </c>
      <c r="BE37" s="75">
        <v>25</v>
      </c>
      <c r="BF37" s="76">
        <v>27</v>
      </c>
      <c r="BG37" s="75">
        <v>29</v>
      </c>
      <c r="BH37" s="76">
        <v>31</v>
      </c>
      <c r="BI37" s="215">
        <v>1</v>
      </c>
      <c r="BJ37" s="216">
        <v>3</v>
      </c>
      <c r="BK37" s="216">
        <v>5</v>
      </c>
      <c r="BL37" s="217">
        <v>7</v>
      </c>
      <c r="BM37" s="217">
        <v>9</v>
      </c>
      <c r="BN37" s="217">
        <v>11</v>
      </c>
      <c r="BO37" s="217">
        <v>13</v>
      </c>
      <c r="BP37" s="217">
        <v>15</v>
      </c>
      <c r="BQ37" s="217">
        <v>17</v>
      </c>
      <c r="BR37" s="217">
        <v>19</v>
      </c>
      <c r="BS37" s="217">
        <v>21</v>
      </c>
      <c r="BT37" s="217">
        <v>23</v>
      </c>
      <c r="BU37" s="217">
        <v>25</v>
      </c>
      <c r="BV37" s="217">
        <v>27</v>
      </c>
      <c r="BW37" s="217">
        <v>29</v>
      </c>
      <c r="BX37" s="218">
        <v>31</v>
      </c>
      <c r="BY37" s="73"/>
      <c r="BZ37" s="73"/>
      <c r="CA37" s="73"/>
      <c r="CB37" s="73"/>
      <c r="CC37" s="73"/>
      <c r="CD37" s="73"/>
      <c r="CE37" s="73"/>
      <c r="CF37" s="73"/>
      <c r="CG37" s="73"/>
      <c r="CH37" s="73"/>
      <c r="CI37" s="73"/>
      <c r="CJ37" s="73"/>
      <c r="CK37" s="73"/>
      <c r="CL37" s="73"/>
    </row>
    <row r="38" spans="2:90">
      <c r="B38" s="282" t="s">
        <v>48</v>
      </c>
      <c r="C38" s="283"/>
      <c r="D38" s="283"/>
      <c r="E38" s="271" t="s">
        <v>49</v>
      </c>
      <c r="F38" s="272"/>
      <c r="G38" s="272"/>
      <c r="H38" s="272"/>
      <c r="I38" s="272"/>
      <c r="J38" s="272"/>
      <c r="K38" s="272"/>
      <c r="L38" s="272"/>
      <c r="M38" s="272"/>
      <c r="N38" s="111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90"/>
      <c r="AA38" s="90"/>
      <c r="AB38" s="90"/>
      <c r="AC38" s="93"/>
      <c r="AD38" s="92"/>
      <c r="AE38" s="91"/>
      <c r="AF38" s="91"/>
      <c r="AG38" s="91"/>
      <c r="AH38" s="91"/>
      <c r="AI38" s="91"/>
      <c r="AJ38" s="91"/>
      <c r="AK38" s="91"/>
      <c r="AL38" s="91"/>
      <c r="AM38" s="91"/>
      <c r="AN38" s="91"/>
      <c r="AO38" s="91"/>
      <c r="AP38" s="91"/>
      <c r="AQ38" s="91"/>
      <c r="AR38" s="128"/>
      <c r="AS38" s="116"/>
      <c r="AT38" s="91"/>
      <c r="AU38" s="91"/>
      <c r="AV38" s="91"/>
      <c r="AW38" s="91"/>
      <c r="AX38" s="91"/>
      <c r="AY38" s="91"/>
      <c r="AZ38" s="91"/>
      <c r="BA38" s="91"/>
      <c r="BB38" s="91"/>
      <c r="BC38" s="91"/>
      <c r="BD38" s="91"/>
      <c r="BE38" s="91"/>
      <c r="BF38" s="91"/>
      <c r="BG38" s="91"/>
      <c r="BH38" s="128"/>
      <c r="BI38" s="209"/>
      <c r="BJ38" s="210"/>
      <c r="BK38" s="210"/>
      <c r="BL38" s="91"/>
      <c r="BM38" s="91"/>
      <c r="BN38" s="91"/>
      <c r="BO38" s="91"/>
      <c r="BP38" s="91"/>
      <c r="BQ38" s="91"/>
      <c r="BR38" s="91"/>
      <c r="BS38" s="91"/>
      <c r="BT38" s="91"/>
      <c r="BU38" s="91"/>
      <c r="BV38" s="91"/>
      <c r="BW38" s="91"/>
      <c r="BX38" s="93"/>
    </row>
    <row r="39" spans="2:90">
      <c r="B39" s="284"/>
      <c r="C39" s="285"/>
      <c r="D39" s="285"/>
      <c r="E39" s="274" t="s">
        <v>51</v>
      </c>
      <c r="F39" s="275"/>
      <c r="G39" s="275"/>
      <c r="H39" s="275"/>
      <c r="I39" s="275"/>
      <c r="J39" s="275"/>
      <c r="K39" s="275"/>
      <c r="L39" s="275"/>
      <c r="M39" s="275"/>
      <c r="N39" s="112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78"/>
      <c r="AA39" s="78"/>
      <c r="AB39" s="78"/>
      <c r="AC39" s="94"/>
      <c r="AD39" s="79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129"/>
      <c r="AS39" s="113"/>
      <c r="AT39" s="70"/>
      <c r="AU39" s="70"/>
      <c r="AV39" s="70"/>
      <c r="AW39" s="70"/>
      <c r="AX39" s="70"/>
      <c r="AY39" s="70"/>
      <c r="AZ39" s="70"/>
      <c r="BA39" s="70"/>
      <c r="BB39" s="70"/>
      <c r="BC39" s="70"/>
      <c r="BD39" s="70"/>
      <c r="BE39" s="70"/>
      <c r="BF39" s="70"/>
      <c r="BG39" s="70"/>
      <c r="BH39" s="129"/>
      <c r="BI39" s="205"/>
      <c r="BJ39" s="206"/>
      <c r="BK39" s="206"/>
      <c r="BL39" s="70"/>
      <c r="BM39" s="70"/>
      <c r="BN39" s="70"/>
      <c r="BO39" s="70"/>
      <c r="BP39" s="70"/>
      <c r="BQ39" s="70"/>
      <c r="BR39" s="70"/>
      <c r="BS39" s="70"/>
      <c r="BT39" s="70"/>
      <c r="BU39" s="70"/>
      <c r="BV39" s="70"/>
      <c r="BW39" s="70"/>
      <c r="BX39" s="94"/>
    </row>
    <row r="40" spans="2:90">
      <c r="B40" s="284"/>
      <c r="C40" s="285"/>
      <c r="D40" s="285"/>
      <c r="E40" s="274" t="s">
        <v>8</v>
      </c>
      <c r="F40" s="275"/>
      <c r="G40" s="275"/>
      <c r="H40" s="275"/>
      <c r="I40" s="275"/>
      <c r="J40" s="275"/>
      <c r="K40" s="275"/>
      <c r="L40" s="275"/>
      <c r="M40" s="275"/>
      <c r="N40" s="112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78"/>
      <c r="AA40" s="78"/>
      <c r="AB40" s="78"/>
      <c r="AC40" s="94"/>
      <c r="AD40" s="79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129"/>
      <c r="AS40" s="113"/>
      <c r="AT40" s="70"/>
      <c r="AU40" s="70"/>
      <c r="AV40" s="70"/>
      <c r="AW40" s="70"/>
      <c r="AX40" s="70"/>
      <c r="AY40" s="70"/>
      <c r="AZ40" s="70"/>
      <c r="BA40" s="70"/>
      <c r="BB40" s="70"/>
      <c r="BC40" s="70"/>
      <c r="BD40" s="70"/>
      <c r="BE40" s="70"/>
      <c r="BF40" s="70"/>
      <c r="BG40" s="70"/>
      <c r="BH40" s="129"/>
      <c r="BI40" s="205"/>
      <c r="BJ40" s="206"/>
      <c r="BK40" s="206"/>
      <c r="BL40" s="70"/>
      <c r="BM40" s="70"/>
      <c r="BN40" s="70"/>
      <c r="BO40" s="70"/>
      <c r="BP40" s="70"/>
      <c r="BQ40" s="70"/>
      <c r="BR40" s="70"/>
      <c r="BS40" s="70"/>
      <c r="BT40" s="70"/>
      <c r="BU40" s="70"/>
      <c r="BV40" s="70"/>
      <c r="BW40" s="70"/>
      <c r="BX40" s="94"/>
    </row>
    <row r="41" spans="2:90">
      <c r="B41" s="284"/>
      <c r="C41" s="285"/>
      <c r="D41" s="285"/>
      <c r="E41" s="274" t="s">
        <v>9</v>
      </c>
      <c r="F41" s="275"/>
      <c r="G41" s="275"/>
      <c r="H41" s="275"/>
      <c r="I41" s="275"/>
      <c r="J41" s="275"/>
      <c r="K41" s="275"/>
      <c r="L41" s="275"/>
      <c r="M41" s="275"/>
      <c r="N41" s="112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78"/>
      <c r="AA41" s="78"/>
      <c r="AB41" s="78"/>
      <c r="AC41" s="94"/>
      <c r="AD41" s="79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129"/>
      <c r="AS41" s="113"/>
      <c r="AT41" s="70"/>
      <c r="AU41" s="70"/>
      <c r="AV41" s="70"/>
      <c r="AW41" s="70"/>
      <c r="AX41" s="70"/>
      <c r="AY41" s="70"/>
      <c r="AZ41" s="70"/>
      <c r="BA41" s="70"/>
      <c r="BB41" s="70"/>
      <c r="BC41" s="70"/>
      <c r="BD41" s="70"/>
      <c r="BE41" s="70"/>
      <c r="BF41" s="70"/>
      <c r="BG41" s="70"/>
      <c r="BH41" s="129"/>
      <c r="BI41" s="205"/>
      <c r="BJ41" s="206"/>
      <c r="BK41" s="206"/>
      <c r="BL41" s="70"/>
      <c r="BM41" s="70"/>
      <c r="BN41" s="70"/>
      <c r="BO41" s="70"/>
      <c r="BP41" s="70"/>
      <c r="BQ41" s="70"/>
      <c r="BR41" s="70"/>
      <c r="BS41" s="70"/>
      <c r="BT41" s="70"/>
      <c r="BU41" s="70"/>
      <c r="BV41" s="70"/>
      <c r="BW41" s="70"/>
      <c r="BX41" s="94"/>
    </row>
    <row r="42" spans="2:90">
      <c r="B42" s="284"/>
      <c r="C42" s="285"/>
      <c r="D42" s="285"/>
      <c r="E42" s="274" t="s">
        <v>10</v>
      </c>
      <c r="F42" s="275"/>
      <c r="G42" s="275"/>
      <c r="H42" s="275"/>
      <c r="I42" s="275"/>
      <c r="J42" s="275"/>
      <c r="K42" s="275"/>
      <c r="L42" s="275"/>
      <c r="M42" s="275"/>
      <c r="N42" s="112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78"/>
      <c r="AA42" s="78"/>
      <c r="AB42" s="78"/>
      <c r="AC42" s="94"/>
      <c r="AD42" s="79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129"/>
      <c r="AS42" s="113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129"/>
      <c r="BI42" s="205"/>
      <c r="BJ42" s="206"/>
      <c r="BK42" s="206"/>
      <c r="BL42" s="70"/>
      <c r="BM42" s="70"/>
      <c r="BN42" s="70"/>
      <c r="BO42" s="70"/>
      <c r="BP42" s="70"/>
      <c r="BQ42" s="70"/>
      <c r="BR42" s="70"/>
      <c r="BS42" s="70"/>
      <c r="BT42" s="70"/>
      <c r="BU42" s="70"/>
      <c r="BV42" s="70"/>
      <c r="BW42" s="70"/>
      <c r="BX42" s="94"/>
    </row>
    <row r="43" spans="2:90">
      <c r="B43" s="284"/>
      <c r="C43" s="285"/>
      <c r="D43" s="285"/>
      <c r="E43" s="274" t="s">
        <v>12</v>
      </c>
      <c r="F43" s="275"/>
      <c r="G43" s="275"/>
      <c r="H43" s="275"/>
      <c r="I43" s="275"/>
      <c r="J43" s="275"/>
      <c r="K43" s="275"/>
      <c r="L43" s="275"/>
      <c r="M43" s="275"/>
      <c r="N43" s="112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78"/>
      <c r="AA43" s="78"/>
      <c r="AB43" s="78"/>
      <c r="AC43" s="94"/>
      <c r="AD43" s="79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129"/>
      <c r="AS43" s="113"/>
      <c r="AT43" s="70"/>
      <c r="AU43" s="70"/>
      <c r="AV43" s="70"/>
      <c r="AW43" s="70"/>
      <c r="AX43" s="70"/>
      <c r="AY43" s="70"/>
      <c r="AZ43" s="70"/>
      <c r="BA43" s="70"/>
      <c r="BB43" s="70"/>
      <c r="BC43" s="70"/>
      <c r="BD43" s="70"/>
      <c r="BE43" s="78"/>
      <c r="BF43" s="78"/>
      <c r="BG43" s="78"/>
      <c r="BH43" s="200"/>
      <c r="BI43" s="205"/>
      <c r="BJ43" s="206"/>
      <c r="BK43" s="206"/>
      <c r="BL43" s="78"/>
      <c r="BM43" s="78"/>
      <c r="BN43" s="78"/>
      <c r="BO43" s="78"/>
      <c r="BP43" s="78"/>
      <c r="BQ43" s="78"/>
      <c r="BR43" s="78"/>
      <c r="BS43" s="78"/>
      <c r="BT43" s="78"/>
      <c r="BU43" s="70"/>
      <c r="BV43" s="70"/>
      <c r="BW43" s="70"/>
      <c r="BX43" s="94"/>
    </row>
    <row r="44" spans="2:90">
      <c r="B44" s="284"/>
      <c r="C44" s="285"/>
      <c r="D44" s="285"/>
      <c r="E44" s="288" t="s">
        <v>16</v>
      </c>
      <c r="F44" s="289"/>
      <c r="G44" s="289"/>
      <c r="H44" s="289"/>
      <c r="I44" s="289"/>
      <c r="J44" s="289"/>
      <c r="K44" s="289"/>
      <c r="L44" s="289"/>
      <c r="M44" s="289"/>
      <c r="N44" s="112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138"/>
      <c r="AA44" s="138"/>
      <c r="AB44" s="138"/>
      <c r="AC44" s="107"/>
      <c r="AD44" s="139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30"/>
      <c r="AS44" s="114"/>
      <c r="AT44" s="105"/>
      <c r="AU44" s="105"/>
      <c r="AV44" s="105"/>
      <c r="AW44" s="105"/>
      <c r="AX44" s="105"/>
      <c r="AY44" s="105"/>
      <c r="AZ44" s="105"/>
      <c r="BA44" s="105"/>
      <c r="BB44" s="105"/>
      <c r="BC44" s="105"/>
      <c r="BD44" s="105"/>
      <c r="BE44" s="138"/>
      <c r="BF44" s="138"/>
      <c r="BG44" s="138"/>
      <c r="BH44" s="185"/>
      <c r="BI44" s="205"/>
      <c r="BJ44" s="206"/>
      <c r="BK44" s="206"/>
      <c r="BL44" s="78"/>
      <c r="BM44" s="78"/>
      <c r="BN44" s="78"/>
      <c r="BO44" s="78"/>
      <c r="BP44" s="78"/>
      <c r="BQ44" s="78"/>
      <c r="BR44" s="78"/>
      <c r="BS44" s="78"/>
      <c r="BT44" s="78"/>
      <c r="BU44" s="70"/>
      <c r="BV44" s="70"/>
      <c r="BW44" s="70"/>
      <c r="BX44" s="94"/>
    </row>
    <row r="45" spans="2:90">
      <c r="B45" s="284"/>
      <c r="C45" s="285"/>
      <c r="D45" s="285"/>
      <c r="E45" s="280" t="s">
        <v>150</v>
      </c>
      <c r="F45" s="281"/>
      <c r="G45" s="281"/>
      <c r="H45" s="281"/>
      <c r="I45" s="281"/>
      <c r="J45" s="281"/>
      <c r="K45" s="281"/>
      <c r="L45" s="281"/>
      <c r="M45" s="281"/>
      <c r="N45" s="199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251"/>
      <c r="AA45" s="251"/>
      <c r="AB45" s="251"/>
      <c r="AC45" s="252"/>
      <c r="AD45" s="180"/>
      <c r="AE45" s="178"/>
      <c r="AF45" s="178"/>
      <c r="AG45" s="178"/>
      <c r="AH45" s="178"/>
      <c r="AI45" s="178"/>
      <c r="AJ45" s="178"/>
      <c r="AK45" s="178"/>
      <c r="AL45" s="178"/>
      <c r="AM45" s="178"/>
      <c r="AN45" s="178"/>
      <c r="AO45" s="178"/>
      <c r="AP45" s="178"/>
      <c r="AQ45" s="178"/>
      <c r="AR45" s="177"/>
      <c r="AS45" s="180"/>
      <c r="AT45" s="178"/>
      <c r="AU45" s="178"/>
      <c r="AV45" s="178"/>
      <c r="AW45" s="178"/>
      <c r="AX45" s="178"/>
      <c r="AY45" s="178"/>
      <c r="AZ45" s="178"/>
      <c r="BA45" s="178"/>
      <c r="BB45" s="178"/>
      <c r="BC45" s="178"/>
      <c r="BD45" s="178"/>
      <c r="BE45" s="176"/>
      <c r="BF45" s="176"/>
      <c r="BG45" s="176"/>
      <c r="BH45" s="201"/>
      <c r="BI45" s="207"/>
      <c r="BJ45" s="208"/>
      <c r="BK45" s="208"/>
      <c r="BL45" s="138"/>
      <c r="BM45" s="138"/>
      <c r="BN45" s="138"/>
      <c r="BO45" s="138"/>
      <c r="BP45" s="138"/>
      <c r="BQ45" s="138"/>
      <c r="BR45" s="138"/>
      <c r="BS45" s="138"/>
      <c r="BT45" s="138"/>
      <c r="BU45" s="105"/>
      <c r="BV45" s="105"/>
      <c r="BW45" s="105"/>
      <c r="BX45" s="107"/>
    </row>
    <row r="46" spans="2:90">
      <c r="B46" s="284"/>
      <c r="C46" s="285"/>
      <c r="D46" s="285"/>
      <c r="E46" s="290" t="s">
        <v>145</v>
      </c>
      <c r="F46" s="291"/>
      <c r="G46" s="291"/>
      <c r="H46" s="291"/>
      <c r="I46" s="291"/>
      <c r="J46" s="291"/>
      <c r="K46" s="291"/>
      <c r="L46" s="291"/>
      <c r="M46" s="291"/>
      <c r="N46" s="142"/>
      <c r="O46" s="72"/>
      <c r="P46" s="72"/>
      <c r="Q46" s="72"/>
      <c r="R46" s="72"/>
      <c r="S46" s="72"/>
      <c r="T46" s="72"/>
      <c r="U46" s="72"/>
      <c r="V46" s="173"/>
      <c r="W46" s="173"/>
      <c r="X46" s="173"/>
      <c r="Y46" s="173"/>
      <c r="Z46" s="173"/>
      <c r="AA46" s="173"/>
      <c r="AB46" s="173"/>
      <c r="AC46" s="182"/>
      <c r="AD46" s="186"/>
      <c r="AE46" s="86"/>
      <c r="AF46" s="86"/>
      <c r="AG46" s="72"/>
      <c r="AH46" s="72"/>
      <c r="AI46" s="72"/>
      <c r="AJ46" s="72"/>
      <c r="AK46" s="72"/>
      <c r="AL46" s="72"/>
      <c r="AM46" s="72"/>
      <c r="AN46" s="72"/>
      <c r="AO46" s="72"/>
      <c r="AP46" s="72"/>
      <c r="AQ46" s="72"/>
      <c r="AR46" s="96"/>
      <c r="AS46" s="142"/>
      <c r="AT46" s="72"/>
      <c r="AU46" s="72"/>
      <c r="AV46" s="72"/>
      <c r="AW46" s="72"/>
      <c r="AX46" s="72"/>
      <c r="AY46" s="72"/>
      <c r="AZ46" s="72"/>
      <c r="BA46" s="72"/>
      <c r="BB46" s="72"/>
      <c r="BC46" s="72"/>
      <c r="BD46" s="72"/>
      <c r="BE46" s="72"/>
      <c r="BF46" s="72"/>
      <c r="BG46" s="72"/>
      <c r="BH46" s="143"/>
      <c r="BI46" s="219"/>
      <c r="BJ46" s="220"/>
      <c r="BK46" s="220"/>
      <c r="BL46" s="173"/>
      <c r="BM46" s="173"/>
      <c r="BN46" s="173"/>
      <c r="BO46" s="173"/>
      <c r="BP46" s="173"/>
      <c r="BQ46" s="173"/>
      <c r="BR46" s="173"/>
      <c r="BS46" s="173"/>
      <c r="BT46" s="173"/>
      <c r="BU46" s="72"/>
      <c r="BV46" s="72"/>
      <c r="BW46" s="72"/>
      <c r="BX46" s="96"/>
    </row>
    <row r="47" spans="2:90">
      <c r="B47" s="284"/>
      <c r="C47" s="285"/>
      <c r="D47" s="285"/>
      <c r="E47" s="292" t="s">
        <v>144</v>
      </c>
      <c r="F47" s="293"/>
      <c r="G47" s="293"/>
      <c r="H47" s="293"/>
      <c r="I47" s="293"/>
      <c r="J47" s="293"/>
      <c r="K47" s="293"/>
      <c r="L47" s="293"/>
      <c r="M47" s="293"/>
      <c r="N47" s="144"/>
      <c r="O47" s="71"/>
      <c r="P47" s="71"/>
      <c r="Q47" s="71"/>
      <c r="R47" s="71"/>
      <c r="S47" s="71"/>
      <c r="T47" s="71"/>
      <c r="U47" s="71"/>
      <c r="V47" s="174"/>
      <c r="W47" s="174"/>
      <c r="X47" s="174"/>
      <c r="Y47" s="174"/>
      <c r="Z47" s="174"/>
      <c r="AA47" s="174"/>
      <c r="AB47" s="174"/>
      <c r="AC47" s="183"/>
      <c r="AD47" s="187"/>
      <c r="AE47" s="83"/>
      <c r="AF47" s="83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95"/>
      <c r="AS47" s="144"/>
      <c r="AT47" s="71"/>
      <c r="AU47" s="71"/>
      <c r="AV47" s="71"/>
      <c r="AW47" s="71"/>
      <c r="AX47" s="71"/>
      <c r="AY47" s="71"/>
      <c r="AZ47" s="71"/>
      <c r="BA47" s="71"/>
      <c r="BB47" s="71"/>
      <c r="BC47" s="71"/>
      <c r="BD47" s="71"/>
      <c r="BE47" s="71"/>
      <c r="BF47" s="71"/>
      <c r="BG47" s="71"/>
      <c r="BH47" s="145"/>
      <c r="BI47" s="223"/>
      <c r="BJ47" s="224"/>
      <c r="BK47" s="224"/>
      <c r="BL47" s="174"/>
      <c r="BM47" s="174"/>
      <c r="BN47" s="174"/>
      <c r="BO47" s="174"/>
      <c r="BP47" s="174"/>
      <c r="BQ47" s="174"/>
      <c r="BR47" s="174"/>
      <c r="BS47" s="174"/>
      <c r="BT47" s="174"/>
      <c r="BU47" s="71"/>
      <c r="BV47" s="71"/>
      <c r="BW47" s="71"/>
      <c r="BX47" s="95"/>
    </row>
    <row r="48" spans="2:90">
      <c r="B48" s="284"/>
      <c r="C48" s="285"/>
      <c r="D48" s="285"/>
      <c r="E48" s="294" t="s">
        <v>24</v>
      </c>
      <c r="F48" s="295"/>
      <c r="G48" s="295"/>
      <c r="H48" s="295"/>
      <c r="I48" s="295"/>
      <c r="J48" s="295"/>
      <c r="K48" s="295"/>
      <c r="L48" s="295"/>
      <c r="M48" s="295"/>
      <c r="N48" s="118"/>
      <c r="O48" s="69"/>
      <c r="P48" s="69"/>
      <c r="Q48" s="69"/>
      <c r="R48" s="69"/>
      <c r="S48" s="69"/>
      <c r="T48" s="69"/>
      <c r="U48" s="69"/>
      <c r="V48" s="175"/>
      <c r="W48" s="175"/>
      <c r="X48" s="175"/>
      <c r="Y48" s="175"/>
      <c r="Z48" s="175"/>
      <c r="AA48" s="175"/>
      <c r="AB48" s="175"/>
      <c r="AC48" s="184"/>
      <c r="AD48" s="118"/>
      <c r="AE48" s="69"/>
      <c r="AF48" s="69"/>
      <c r="AG48" s="85"/>
      <c r="AH48" s="85"/>
      <c r="AI48" s="85"/>
      <c r="AJ48" s="85"/>
      <c r="AK48" s="85"/>
      <c r="AL48" s="85"/>
      <c r="AM48" s="85"/>
      <c r="AN48" s="69"/>
      <c r="AO48" s="69"/>
      <c r="AP48" s="69"/>
      <c r="AQ48" s="69"/>
      <c r="AR48" s="102"/>
      <c r="AS48" s="118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69"/>
      <c r="BE48" s="69"/>
      <c r="BF48" s="69"/>
      <c r="BG48" s="69"/>
      <c r="BH48" s="133"/>
      <c r="BI48" s="221"/>
      <c r="BJ48" s="222"/>
      <c r="BK48" s="222"/>
      <c r="BL48" s="175"/>
      <c r="BM48" s="175"/>
      <c r="BN48" s="175"/>
      <c r="BO48" s="175"/>
      <c r="BP48" s="175"/>
      <c r="BQ48" s="175"/>
      <c r="BR48" s="175"/>
      <c r="BS48" s="175"/>
      <c r="BT48" s="175"/>
      <c r="BU48" s="69"/>
      <c r="BV48" s="69"/>
      <c r="BW48" s="69"/>
      <c r="BX48" s="102"/>
    </row>
    <row r="49" spans="2:76" ht="13.8" thickBot="1">
      <c r="B49" s="284"/>
      <c r="C49" s="285"/>
      <c r="D49" s="285"/>
      <c r="E49" s="288" t="s">
        <v>29</v>
      </c>
      <c r="F49" s="289"/>
      <c r="G49" s="289"/>
      <c r="H49" s="289"/>
      <c r="I49" s="289"/>
      <c r="J49" s="289"/>
      <c r="K49" s="289"/>
      <c r="L49" s="289"/>
      <c r="M49" s="289"/>
      <c r="N49" s="114"/>
      <c r="O49" s="105"/>
      <c r="P49" s="105"/>
      <c r="Q49" s="105"/>
      <c r="R49" s="105"/>
      <c r="S49" s="105"/>
      <c r="T49" s="105"/>
      <c r="U49" s="105"/>
      <c r="V49" s="138"/>
      <c r="W49" s="138"/>
      <c r="X49" s="138"/>
      <c r="Y49" s="138"/>
      <c r="Z49" s="138"/>
      <c r="AA49" s="138"/>
      <c r="AB49" s="138"/>
      <c r="AC49" s="185"/>
      <c r="AD49" s="114"/>
      <c r="AE49" s="105"/>
      <c r="AF49" s="105"/>
      <c r="AG49" s="106"/>
      <c r="AH49" s="106"/>
      <c r="AI49" s="106"/>
      <c r="AJ49" s="106"/>
      <c r="AK49" s="106"/>
      <c r="AL49" s="106"/>
      <c r="AM49" s="106"/>
      <c r="AN49" s="105"/>
      <c r="AO49" s="105"/>
      <c r="AP49" s="105"/>
      <c r="AQ49" s="105"/>
      <c r="AR49" s="107"/>
      <c r="AS49" s="114"/>
      <c r="AT49" s="105"/>
      <c r="AU49" s="105"/>
      <c r="AV49" s="105"/>
      <c r="AW49" s="105"/>
      <c r="AX49" s="105"/>
      <c r="AY49" s="105"/>
      <c r="AZ49" s="105"/>
      <c r="BA49" s="105"/>
      <c r="BB49" s="105"/>
      <c r="BC49" s="105"/>
      <c r="BD49" s="105"/>
      <c r="BE49" s="105"/>
      <c r="BF49" s="105"/>
      <c r="BG49" s="105"/>
      <c r="BH49" s="130"/>
      <c r="BI49" s="207"/>
      <c r="BJ49" s="208"/>
      <c r="BK49" s="208"/>
      <c r="BL49" s="138"/>
      <c r="BM49" s="138"/>
      <c r="BN49" s="138"/>
      <c r="BO49" s="138"/>
      <c r="BP49" s="138"/>
      <c r="BQ49" s="138"/>
      <c r="BR49" s="138"/>
      <c r="BS49" s="138"/>
      <c r="BT49" s="138"/>
      <c r="BU49" s="105"/>
      <c r="BV49" s="105"/>
      <c r="BW49" s="105"/>
      <c r="BX49" s="107"/>
    </row>
    <row r="50" spans="2:76">
      <c r="B50" s="256" t="s">
        <v>152</v>
      </c>
      <c r="C50" s="257"/>
      <c r="D50" s="258"/>
      <c r="E50" s="235" t="s">
        <v>153</v>
      </c>
      <c r="F50" s="236"/>
      <c r="G50" s="236"/>
      <c r="H50" s="236"/>
      <c r="I50" s="236"/>
      <c r="J50" s="236"/>
      <c r="K50" s="236"/>
      <c r="L50" s="236"/>
      <c r="M50" s="236"/>
      <c r="N50" s="189"/>
      <c r="O50" s="190"/>
      <c r="P50" s="190"/>
      <c r="Q50" s="190"/>
      <c r="R50" s="190"/>
      <c r="S50" s="190"/>
      <c r="T50" s="190"/>
      <c r="U50" s="190"/>
      <c r="V50" s="190"/>
      <c r="W50" s="190"/>
      <c r="X50" s="190"/>
      <c r="Y50" s="190"/>
      <c r="Z50" s="190"/>
      <c r="AA50" s="190"/>
      <c r="AB50" s="190"/>
      <c r="AC50" s="225"/>
      <c r="AD50" s="230"/>
      <c r="AE50" s="231"/>
      <c r="AF50" s="231"/>
      <c r="AG50" s="231"/>
      <c r="AH50" s="231"/>
      <c r="AI50" s="231"/>
      <c r="AJ50" s="231"/>
      <c r="AK50" s="231"/>
      <c r="AL50" s="190"/>
      <c r="AM50" s="190"/>
      <c r="AN50" s="190"/>
      <c r="AO50" s="190"/>
      <c r="AP50" s="190"/>
      <c r="AQ50" s="190"/>
      <c r="AR50" s="191"/>
      <c r="AS50" s="189"/>
      <c r="AT50" s="190"/>
      <c r="AU50" s="190"/>
      <c r="AV50" s="190"/>
      <c r="AW50" s="190"/>
      <c r="AX50" s="190"/>
      <c r="AY50" s="190"/>
      <c r="AZ50" s="190"/>
      <c r="BA50" s="190"/>
      <c r="BB50" s="190"/>
      <c r="BC50" s="190"/>
      <c r="BD50" s="190"/>
      <c r="BE50" s="190"/>
      <c r="BF50" s="190"/>
      <c r="BG50" s="190"/>
      <c r="BH50" s="225"/>
      <c r="BI50" s="226"/>
      <c r="BJ50" s="227"/>
      <c r="BK50" s="227"/>
      <c r="BL50" s="190"/>
      <c r="BM50" s="190"/>
      <c r="BN50" s="190"/>
      <c r="BO50" s="190"/>
      <c r="BP50" s="190"/>
      <c r="BQ50" s="190"/>
      <c r="BR50" s="190"/>
      <c r="BS50" s="190"/>
      <c r="BT50" s="190"/>
      <c r="BU50" s="190"/>
      <c r="BV50" s="190"/>
      <c r="BW50" s="190"/>
      <c r="BX50" s="191"/>
    </row>
    <row r="51" spans="2:76">
      <c r="B51" s="259"/>
      <c r="C51" s="260"/>
      <c r="D51" s="261"/>
      <c r="E51" s="237" t="s">
        <v>154</v>
      </c>
      <c r="F51" s="238"/>
      <c r="G51" s="238"/>
      <c r="H51" s="238"/>
      <c r="I51" s="238"/>
      <c r="J51" s="238"/>
      <c r="K51" s="238"/>
      <c r="L51" s="238"/>
      <c r="M51" s="238"/>
      <c r="N51" s="180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9"/>
      <c r="AD51" s="232"/>
      <c r="AE51" s="233"/>
      <c r="AF51" s="233"/>
      <c r="AG51" s="233"/>
      <c r="AH51" s="233"/>
      <c r="AI51" s="233"/>
      <c r="AJ51" s="233"/>
      <c r="AK51" s="233"/>
      <c r="AL51" s="178"/>
      <c r="AM51" s="178"/>
      <c r="AN51" s="178"/>
      <c r="AO51" s="178"/>
      <c r="AP51" s="178"/>
      <c r="AQ51" s="178"/>
      <c r="AR51" s="177"/>
      <c r="AS51" s="180"/>
      <c r="AT51" s="178"/>
      <c r="AU51" s="178"/>
      <c r="AV51" s="178"/>
      <c r="AW51" s="178"/>
      <c r="AX51" s="178"/>
      <c r="AY51" s="178"/>
      <c r="AZ51" s="178"/>
      <c r="BA51" s="178"/>
      <c r="BB51" s="178"/>
      <c r="BC51" s="178"/>
      <c r="BD51" s="178"/>
      <c r="BE51" s="178"/>
      <c r="BF51" s="178"/>
      <c r="BG51" s="178"/>
      <c r="BH51" s="179"/>
      <c r="BI51" s="213"/>
      <c r="BJ51" s="214"/>
      <c r="BK51" s="214"/>
      <c r="BL51" s="178"/>
      <c r="BM51" s="178"/>
      <c r="BN51" s="178"/>
      <c r="BO51" s="178"/>
      <c r="BP51" s="178"/>
      <c r="BQ51" s="178"/>
      <c r="BR51" s="178"/>
      <c r="BS51" s="178"/>
      <c r="BT51" s="178"/>
      <c r="BU51" s="178"/>
      <c r="BV51" s="178"/>
      <c r="BW51" s="178"/>
      <c r="BX51" s="177"/>
    </row>
    <row r="52" spans="2:76">
      <c r="B52" s="259"/>
      <c r="C52" s="260"/>
      <c r="D52" s="261"/>
      <c r="E52" s="237" t="s">
        <v>156</v>
      </c>
      <c r="F52" s="238"/>
      <c r="G52" s="238"/>
      <c r="H52" s="238"/>
      <c r="I52" s="238"/>
      <c r="J52" s="238"/>
      <c r="K52" s="238"/>
      <c r="L52" s="238"/>
      <c r="M52" s="238"/>
      <c r="N52" s="180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9"/>
      <c r="AD52" s="180"/>
      <c r="AE52" s="178"/>
      <c r="AF52" s="178"/>
      <c r="AG52" s="178"/>
      <c r="AH52" s="178"/>
      <c r="AI52" s="178"/>
      <c r="AJ52" s="178"/>
      <c r="AK52" s="178"/>
      <c r="AL52" s="233"/>
      <c r="AM52" s="233"/>
      <c r="AN52" s="233"/>
      <c r="AO52" s="233"/>
      <c r="AP52" s="233"/>
      <c r="AQ52" s="233"/>
      <c r="AR52" s="249"/>
      <c r="AS52" s="180"/>
      <c r="AT52" s="178"/>
      <c r="AU52" s="178"/>
      <c r="AV52" s="178"/>
      <c r="AW52" s="178"/>
      <c r="AX52" s="178"/>
      <c r="AY52" s="178"/>
      <c r="AZ52" s="178"/>
      <c r="BA52" s="178"/>
      <c r="BB52" s="178"/>
      <c r="BC52" s="178"/>
      <c r="BD52" s="178"/>
      <c r="BE52" s="178"/>
      <c r="BF52" s="178"/>
      <c r="BG52" s="178"/>
      <c r="BH52" s="179"/>
      <c r="BI52" s="213"/>
      <c r="BJ52" s="214"/>
      <c r="BK52" s="214"/>
      <c r="BL52" s="178"/>
      <c r="BM52" s="178"/>
      <c r="BN52" s="178"/>
      <c r="BO52" s="178"/>
      <c r="BP52" s="178"/>
      <c r="BQ52" s="178"/>
      <c r="BR52" s="178"/>
      <c r="BS52" s="178"/>
      <c r="BT52" s="178"/>
      <c r="BU52" s="178"/>
      <c r="BV52" s="178"/>
      <c r="BW52" s="178"/>
      <c r="BX52" s="177"/>
    </row>
    <row r="53" spans="2:76">
      <c r="B53" s="259"/>
      <c r="C53" s="260"/>
      <c r="D53" s="261"/>
      <c r="E53" s="237" t="s">
        <v>157</v>
      </c>
      <c r="F53" s="238"/>
      <c r="G53" s="238"/>
      <c r="H53" s="238"/>
      <c r="I53" s="238"/>
      <c r="J53" s="238"/>
      <c r="K53" s="238"/>
      <c r="L53" s="238"/>
      <c r="M53" s="238"/>
      <c r="N53" s="180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9"/>
      <c r="AD53" s="180"/>
      <c r="AE53" s="178"/>
      <c r="AF53" s="178"/>
      <c r="AG53" s="178"/>
      <c r="AH53" s="178"/>
      <c r="AI53" s="178"/>
      <c r="AJ53" s="178"/>
      <c r="AK53" s="178"/>
      <c r="AL53" s="233"/>
      <c r="AM53" s="233"/>
      <c r="AN53" s="233"/>
      <c r="AO53" s="233"/>
      <c r="AP53" s="233"/>
      <c r="AQ53" s="233"/>
      <c r="AR53" s="249"/>
      <c r="AS53" s="180"/>
      <c r="AT53" s="178"/>
      <c r="AU53" s="178"/>
      <c r="AV53" s="178"/>
      <c r="AW53" s="178"/>
      <c r="AX53" s="178"/>
      <c r="AY53" s="178"/>
      <c r="AZ53" s="178"/>
      <c r="BA53" s="178"/>
      <c r="BB53" s="178"/>
      <c r="BC53" s="178"/>
      <c r="BD53" s="178"/>
      <c r="BE53" s="178"/>
      <c r="BF53" s="178"/>
      <c r="BG53" s="178"/>
      <c r="BH53" s="179"/>
      <c r="BI53" s="213"/>
      <c r="BJ53" s="214"/>
      <c r="BK53" s="214"/>
      <c r="BL53" s="178"/>
      <c r="BM53" s="178"/>
      <c r="BN53" s="178"/>
      <c r="BO53" s="178"/>
      <c r="BP53" s="178"/>
      <c r="BQ53" s="178"/>
      <c r="BR53" s="178"/>
      <c r="BS53" s="178"/>
      <c r="BT53" s="178"/>
      <c r="BU53" s="178"/>
      <c r="BV53" s="178"/>
      <c r="BW53" s="178"/>
      <c r="BX53" s="177"/>
    </row>
    <row r="54" spans="2:76" ht="13.8" thickBot="1">
      <c r="B54" s="262"/>
      <c r="C54" s="263"/>
      <c r="D54" s="264"/>
      <c r="E54" s="239" t="s">
        <v>158</v>
      </c>
      <c r="F54" s="240"/>
      <c r="G54" s="240"/>
      <c r="H54" s="240"/>
      <c r="I54" s="240"/>
      <c r="J54" s="240"/>
      <c r="K54" s="240"/>
      <c r="L54" s="240"/>
      <c r="M54" s="240"/>
      <c r="N54" s="192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8"/>
      <c r="AD54" s="192"/>
      <c r="AE54" s="193"/>
      <c r="AF54" s="193"/>
      <c r="AG54" s="193"/>
      <c r="AH54" s="193"/>
      <c r="AI54" s="193"/>
      <c r="AJ54" s="193"/>
      <c r="AK54" s="193"/>
      <c r="AL54" s="234"/>
      <c r="AM54" s="234"/>
      <c r="AN54" s="234"/>
      <c r="AO54" s="234"/>
      <c r="AP54" s="234"/>
      <c r="AQ54" s="234"/>
      <c r="AR54" s="250"/>
      <c r="AS54" s="192"/>
      <c r="AT54" s="193"/>
      <c r="AU54" s="193"/>
      <c r="AV54" s="193"/>
      <c r="AW54" s="193"/>
      <c r="AX54" s="193"/>
      <c r="AY54" s="193"/>
      <c r="AZ54" s="193"/>
      <c r="BA54" s="193"/>
      <c r="BB54" s="193"/>
      <c r="BC54" s="193"/>
      <c r="BD54" s="193"/>
      <c r="BE54" s="193"/>
      <c r="BF54" s="193"/>
      <c r="BG54" s="193"/>
      <c r="BH54" s="198"/>
      <c r="BI54" s="228"/>
      <c r="BJ54" s="229"/>
      <c r="BK54" s="229"/>
      <c r="BL54" s="193"/>
      <c r="BM54" s="193"/>
      <c r="BN54" s="193"/>
      <c r="BO54" s="193"/>
      <c r="BP54" s="193"/>
      <c r="BQ54" s="193"/>
      <c r="BR54" s="193"/>
      <c r="BS54" s="193"/>
      <c r="BT54" s="193"/>
      <c r="BU54" s="193"/>
      <c r="BV54" s="193"/>
      <c r="BW54" s="193"/>
      <c r="BX54" s="194"/>
    </row>
    <row r="55" spans="2:76">
      <c r="B55" s="256" t="s">
        <v>159</v>
      </c>
      <c r="C55" s="257"/>
      <c r="D55" s="258"/>
      <c r="E55" s="235" t="s">
        <v>154</v>
      </c>
      <c r="F55" s="236"/>
      <c r="G55" s="236"/>
      <c r="H55" s="236"/>
      <c r="I55" s="236"/>
      <c r="J55" s="236"/>
      <c r="K55" s="236"/>
      <c r="L55" s="236"/>
      <c r="M55" s="236"/>
      <c r="N55" s="189"/>
      <c r="O55" s="190"/>
      <c r="P55" s="190"/>
      <c r="Q55" s="190"/>
      <c r="R55" s="190"/>
      <c r="S55" s="190"/>
      <c r="T55" s="190"/>
      <c r="U55" s="190"/>
      <c r="V55" s="190"/>
      <c r="W55" s="190"/>
      <c r="X55" s="190"/>
      <c r="Y55" s="190"/>
      <c r="Z55" s="190"/>
      <c r="AA55" s="190"/>
      <c r="AB55" s="190"/>
      <c r="AC55" s="225"/>
      <c r="AD55" s="241"/>
      <c r="AE55" s="242"/>
      <c r="AF55" s="242"/>
      <c r="AG55" s="242"/>
      <c r="AH55" s="242"/>
      <c r="AI55" s="242"/>
      <c r="AJ55" s="242"/>
      <c r="AK55" s="242"/>
      <c r="AL55" s="242"/>
      <c r="AM55" s="242"/>
      <c r="AN55" s="242"/>
      <c r="AO55" s="242"/>
      <c r="AP55" s="242"/>
      <c r="AQ55" s="242"/>
      <c r="AR55" s="243"/>
      <c r="AS55" s="189"/>
      <c r="AT55" s="190"/>
      <c r="AU55" s="190"/>
      <c r="AV55" s="190"/>
      <c r="AW55" s="190"/>
      <c r="AX55" s="190"/>
      <c r="AY55" s="190"/>
      <c r="AZ55" s="190"/>
      <c r="BA55" s="190"/>
      <c r="BB55" s="190"/>
      <c r="BC55" s="190"/>
      <c r="BD55" s="190"/>
      <c r="BE55" s="190"/>
      <c r="BF55" s="190"/>
      <c r="BG55" s="190"/>
      <c r="BH55" s="225"/>
      <c r="BI55" s="226"/>
      <c r="BJ55" s="227"/>
      <c r="BK55" s="227"/>
      <c r="BL55" s="231"/>
      <c r="BM55" s="231"/>
      <c r="BN55" s="231"/>
      <c r="BO55" s="231"/>
      <c r="BP55" s="231"/>
      <c r="BQ55" s="231"/>
      <c r="BR55" s="231"/>
      <c r="BS55" s="231"/>
      <c r="BT55" s="231"/>
      <c r="BU55" s="231"/>
      <c r="BV55" s="231"/>
      <c r="BW55" s="231"/>
      <c r="BX55" s="248"/>
    </row>
    <row r="56" spans="2:76">
      <c r="B56" s="259"/>
      <c r="C56" s="260"/>
      <c r="D56" s="261"/>
      <c r="E56" s="237" t="s">
        <v>155</v>
      </c>
      <c r="F56" s="238"/>
      <c r="G56" s="238"/>
      <c r="H56" s="238"/>
      <c r="I56" s="238"/>
      <c r="J56" s="238"/>
      <c r="K56" s="238"/>
      <c r="L56" s="238"/>
      <c r="M56" s="238"/>
      <c r="N56" s="180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9"/>
      <c r="AD56" s="244"/>
      <c r="AE56" s="176"/>
      <c r="AF56" s="176"/>
      <c r="AG56" s="176"/>
      <c r="AH56" s="176"/>
      <c r="AI56" s="176"/>
      <c r="AJ56" s="176"/>
      <c r="AK56" s="176"/>
      <c r="AL56" s="176"/>
      <c r="AM56" s="176"/>
      <c r="AN56" s="176"/>
      <c r="AO56" s="176"/>
      <c r="AP56" s="176"/>
      <c r="AQ56" s="176"/>
      <c r="AR56" s="181"/>
      <c r="AS56" s="180"/>
      <c r="AT56" s="178"/>
      <c r="AU56" s="178"/>
      <c r="AV56" s="178"/>
      <c r="AW56" s="178"/>
      <c r="AX56" s="178"/>
      <c r="AY56" s="178"/>
      <c r="AZ56" s="178"/>
      <c r="BA56" s="178"/>
      <c r="BB56" s="178"/>
      <c r="BC56" s="178"/>
      <c r="BD56" s="178"/>
      <c r="BE56" s="178"/>
      <c r="BF56" s="178"/>
      <c r="BG56" s="178"/>
      <c r="BH56" s="179"/>
      <c r="BI56" s="213"/>
      <c r="BJ56" s="214"/>
      <c r="BK56" s="214"/>
      <c r="BL56" s="233"/>
      <c r="BM56" s="233"/>
      <c r="BN56" s="233"/>
      <c r="BO56" s="233"/>
      <c r="BP56" s="233"/>
      <c r="BQ56" s="233"/>
      <c r="BR56" s="233"/>
      <c r="BS56" s="233"/>
      <c r="BT56" s="233"/>
      <c r="BU56" s="233"/>
      <c r="BV56" s="233"/>
      <c r="BW56" s="233"/>
      <c r="BX56" s="249"/>
    </row>
    <row r="57" spans="2:76">
      <c r="B57" s="259"/>
      <c r="C57" s="260"/>
      <c r="D57" s="261"/>
      <c r="E57" s="237" t="s">
        <v>157</v>
      </c>
      <c r="F57" s="238"/>
      <c r="G57" s="238"/>
      <c r="H57" s="238"/>
      <c r="I57" s="238"/>
      <c r="J57" s="238"/>
      <c r="K57" s="238"/>
      <c r="L57" s="238"/>
      <c r="M57" s="238"/>
      <c r="N57" s="180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9"/>
      <c r="AD57" s="244"/>
      <c r="AE57" s="176"/>
      <c r="AF57" s="176"/>
      <c r="AG57" s="176"/>
      <c r="AH57" s="176"/>
      <c r="AI57" s="176"/>
      <c r="AJ57" s="176"/>
      <c r="AK57" s="176"/>
      <c r="AL57" s="176"/>
      <c r="AM57" s="176"/>
      <c r="AN57" s="176"/>
      <c r="AO57" s="176"/>
      <c r="AP57" s="176"/>
      <c r="AQ57" s="176"/>
      <c r="AR57" s="181"/>
      <c r="AS57" s="180"/>
      <c r="AT57" s="178"/>
      <c r="AU57" s="178"/>
      <c r="AV57" s="178"/>
      <c r="AW57" s="178"/>
      <c r="AX57" s="178"/>
      <c r="AY57" s="178"/>
      <c r="AZ57" s="178"/>
      <c r="BA57" s="178"/>
      <c r="BB57" s="178"/>
      <c r="BC57" s="178"/>
      <c r="BD57" s="178"/>
      <c r="BE57" s="178"/>
      <c r="BF57" s="178"/>
      <c r="BG57" s="178"/>
      <c r="BH57" s="179"/>
      <c r="BI57" s="213"/>
      <c r="BJ57" s="214"/>
      <c r="BK57" s="214"/>
      <c r="BL57" s="233"/>
      <c r="BM57" s="233"/>
      <c r="BN57" s="233"/>
      <c r="BO57" s="233"/>
      <c r="BP57" s="233"/>
      <c r="BQ57" s="233"/>
      <c r="BR57" s="233"/>
      <c r="BS57" s="233"/>
      <c r="BT57" s="233"/>
      <c r="BU57" s="233"/>
      <c r="BV57" s="233"/>
      <c r="BW57" s="233"/>
      <c r="BX57" s="249"/>
    </row>
    <row r="58" spans="2:76" ht="13.8" thickBot="1">
      <c r="B58" s="262"/>
      <c r="C58" s="263"/>
      <c r="D58" s="264"/>
      <c r="E58" s="239" t="s">
        <v>158</v>
      </c>
      <c r="F58" s="240"/>
      <c r="G58" s="240"/>
      <c r="H58" s="240"/>
      <c r="I58" s="240"/>
      <c r="J58" s="240"/>
      <c r="K58" s="240"/>
      <c r="L58" s="240"/>
      <c r="M58" s="240"/>
      <c r="N58" s="192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8"/>
      <c r="AD58" s="245"/>
      <c r="AE58" s="246"/>
      <c r="AF58" s="246"/>
      <c r="AG58" s="246"/>
      <c r="AH58" s="246"/>
      <c r="AI58" s="246"/>
      <c r="AJ58" s="246"/>
      <c r="AK58" s="246"/>
      <c r="AL58" s="246"/>
      <c r="AM58" s="246"/>
      <c r="AN58" s="246"/>
      <c r="AO58" s="246"/>
      <c r="AP58" s="246"/>
      <c r="AQ58" s="246"/>
      <c r="AR58" s="247"/>
      <c r="AS58" s="192"/>
      <c r="AT58" s="193"/>
      <c r="AU58" s="193"/>
      <c r="AV58" s="193"/>
      <c r="AW58" s="193"/>
      <c r="AX58" s="193"/>
      <c r="AY58" s="193"/>
      <c r="AZ58" s="193"/>
      <c r="BA58" s="193"/>
      <c r="BB58" s="193"/>
      <c r="BC58" s="193"/>
      <c r="BD58" s="193"/>
      <c r="BE58" s="193"/>
      <c r="BF58" s="193"/>
      <c r="BG58" s="193"/>
      <c r="BH58" s="198"/>
      <c r="BI58" s="228"/>
      <c r="BJ58" s="229"/>
      <c r="BK58" s="229"/>
      <c r="BL58" s="234"/>
      <c r="BM58" s="234"/>
      <c r="BN58" s="234"/>
      <c r="BO58" s="234"/>
      <c r="BP58" s="234"/>
      <c r="BQ58" s="234"/>
      <c r="BR58" s="234"/>
      <c r="BS58" s="234"/>
      <c r="BT58" s="234"/>
      <c r="BU58" s="234"/>
      <c r="BV58" s="234"/>
      <c r="BW58" s="234"/>
      <c r="BX58" s="250"/>
    </row>
    <row r="59" spans="2:76">
      <c r="B59" s="282" t="s">
        <v>105</v>
      </c>
      <c r="C59" s="283"/>
      <c r="D59" s="283"/>
      <c r="E59" s="271" t="s">
        <v>62</v>
      </c>
      <c r="F59" s="272"/>
      <c r="G59" s="272"/>
      <c r="H59" s="272"/>
      <c r="I59" s="272"/>
      <c r="J59" s="272"/>
      <c r="K59" s="272"/>
      <c r="L59" s="272"/>
      <c r="M59" s="272"/>
      <c r="N59" s="116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  <c r="AC59" s="128"/>
      <c r="AD59" s="116"/>
      <c r="AE59" s="91"/>
      <c r="AF59" s="91"/>
      <c r="AG59" s="91"/>
      <c r="AH59" s="91"/>
      <c r="AI59" s="91"/>
      <c r="AJ59" s="91"/>
      <c r="AK59" s="91"/>
      <c r="AL59" s="91"/>
      <c r="AM59" s="91"/>
      <c r="AN59" s="89"/>
      <c r="AO59" s="89"/>
      <c r="AP59" s="89"/>
      <c r="AQ59" s="89"/>
      <c r="AR59" s="188"/>
      <c r="AS59" s="111"/>
      <c r="AT59" s="91"/>
      <c r="AU59" s="91"/>
      <c r="AV59" s="91"/>
      <c r="AW59" s="91"/>
      <c r="AX59" s="91"/>
      <c r="AY59" s="91"/>
      <c r="AZ59" s="91"/>
      <c r="BA59" s="91"/>
      <c r="BB59" s="91"/>
      <c r="BC59" s="91"/>
      <c r="BD59" s="91"/>
      <c r="BE59" s="91"/>
      <c r="BF59" s="91"/>
      <c r="BG59" s="91"/>
      <c r="BH59" s="128"/>
      <c r="BI59" s="209"/>
      <c r="BJ59" s="210"/>
      <c r="BK59" s="210"/>
      <c r="BL59" s="91"/>
      <c r="BM59" s="91"/>
      <c r="BN59" s="91"/>
      <c r="BO59" s="91"/>
      <c r="BP59" s="91"/>
      <c r="BQ59" s="91"/>
      <c r="BR59" s="91"/>
      <c r="BS59" s="91"/>
      <c r="BT59" s="91"/>
      <c r="BU59" s="91"/>
      <c r="BV59" s="91"/>
      <c r="BW59" s="91"/>
      <c r="BX59" s="93"/>
    </row>
    <row r="60" spans="2:76">
      <c r="B60" s="284"/>
      <c r="C60" s="285"/>
      <c r="D60" s="285"/>
      <c r="E60" s="274" t="s">
        <v>63</v>
      </c>
      <c r="F60" s="275"/>
      <c r="G60" s="275"/>
      <c r="H60" s="275"/>
      <c r="I60" s="275"/>
      <c r="J60" s="275"/>
      <c r="K60" s="275"/>
      <c r="L60" s="275"/>
      <c r="M60" s="275"/>
      <c r="N60" s="113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129"/>
      <c r="AD60" s="113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94"/>
      <c r="AS60" s="113"/>
      <c r="AT60" s="81"/>
      <c r="AU60" s="81"/>
      <c r="AV60" s="70"/>
      <c r="AW60" s="70"/>
      <c r="AX60" s="70"/>
      <c r="AY60" s="70"/>
      <c r="AZ60" s="70"/>
      <c r="BA60" s="70"/>
      <c r="BB60" s="70"/>
      <c r="BC60" s="70"/>
      <c r="BD60" s="70"/>
      <c r="BE60" s="70"/>
      <c r="BF60" s="70"/>
      <c r="BG60" s="70"/>
      <c r="BH60" s="129"/>
      <c r="BI60" s="205"/>
      <c r="BJ60" s="206"/>
      <c r="BK60" s="206"/>
      <c r="BL60" s="70"/>
      <c r="BM60" s="70"/>
      <c r="BN60" s="70"/>
      <c r="BO60" s="70"/>
      <c r="BP60" s="70"/>
      <c r="BQ60" s="70"/>
      <c r="BR60" s="70"/>
      <c r="BS60" s="70"/>
      <c r="BT60" s="70"/>
      <c r="BU60" s="70"/>
      <c r="BV60" s="70"/>
      <c r="BW60" s="70"/>
      <c r="BX60" s="94"/>
    </row>
    <row r="61" spans="2:76">
      <c r="B61" s="284"/>
      <c r="C61" s="285"/>
      <c r="D61" s="285"/>
      <c r="E61" s="274" t="s">
        <v>64</v>
      </c>
      <c r="F61" s="275"/>
      <c r="G61" s="275"/>
      <c r="H61" s="275"/>
      <c r="I61" s="275"/>
      <c r="J61" s="275"/>
      <c r="K61" s="275"/>
      <c r="L61" s="275"/>
      <c r="M61" s="275"/>
      <c r="N61" s="113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129"/>
      <c r="AD61" s="113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94"/>
      <c r="AS61" s="113"/>
      <c r="AT61" s="70"/>
      <c r="AU61" s="70"/>
      <c r="AV61" s="81"/>
      <c r="AW61" s="81"/>
      <c r="AX61" s="81"/>
      <c r="AY61" s="81"/>
      <c r="AZ61" s="70"/>
      <c r="BA61" s="70"/>
      <c r="BB61" s="70"/>
      <c r="BC61" s="70"/>
      <c r="BD61" s="70"/>
      <c r="BE61" s="70"/>
      <c r="BF61" s="70"/>
      <c r="BG61" s="70"/>
      <c r="BH61" s="129"/>
      <c r="BI61" s="205"/>
      <c r="BJ61" s="206"/>
      <c r="BK61" s="206"/>
      <c r="BL61" s="70"/>
      <c r="BM61" s="70"/>
      <c r="BN61" s="70"/>
      <c r="BO61" s="70"/>
      <c r="BP61" s="70"/>
      <c r="BQ61" s="70"/>
      <c r="BR61" s="70"/>
      <c r="BS61" s="70"/>
      <c r="BT61" s="70"/>
      <c r="BU61" s="70"/>
      <c r="BV61" s="70"/>
      <c r="BW61" s="70"/>
      <c r="BX61" s="94"/>
    </row>
    <row r="62" spans="2:76">
      <c r="B62" s="284"/>
      <c r="C62" s="285"/>
      <c r="D62" s="285"/>
      <c r="E62" s="274" t="s">
        <v>67</v>
      </c>
      <c r="F62" s="275"/>
      <c r="G62" s="275"/>
      <c r="H62" s="275"/>
      <c r="I62" s="275"/>
      <c r="J62" s="275"/>
      <c r="K62" s="275"/>
      <c r="L62" s="275"/>
      <c r="M62" s="275"/>
      <c r="N62" s="113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129"/>
      <c r="AD62" s="113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94"/>
      <c r="AS62" s="113"/>
      <c r="AT62" s="70"/>
      <c r="AU62" s="70"/>
      <c r="AV62" s="70"/>
      <c r="AW62" s="70"/>
      <c r="AX62" s="70"/>
      <c r="AY62" s="70"/>
      <c r="AZ62" s="81"/>
      <c r="BA62" s="81"/>
      <c r="BB62" s="81"/>
      <c r="BC62" s="81"/>
      <c r="BD62" s="70"/>
      <c r="BE62" s="70"/>
      <c r="BF62" s="70"/>
      <c r="BG62" s="70"/>
      <c r="BH62" s="129"/>
      <c r="BI62" s="205"/>
      <c r="BJ62" s="206"/>
      <c r="BK62" s="206"/>
      <c r="BL62" s="70"/>
      <c r="BM62" s="70"/>
      <c r="BN62" s="70"/>
      <c r="BO62" s="70"/>
      <c r="BP62" s="70"/>
      <c r="BQ62" s="70"/>
      <c r="BR62" s="70"/>
      <c r="BS62" s="70"/>
      <c r="BT62" s="70"/>
      <c r="BU62" s="70"/>
      <c r="BV62" s="70"/>
      <c r="BW62" s="70"/>
      <c r="BX62" s="94"/>
    </row>
    <row r="63" spans="2:76" ht="13.8" thickBot="1">
      <c r="B63" s="286"/>
      <c r="C63" s="287"/>
      <c r="D63" s="287"/>
      <c r="E63" s="277" t="s">
        <v>68</v>
      </c>
      <c r="F63" s="278"/>
      <c r="G63" s="278"/>
      <c r="H63" s="278"/>
      <c r="I63" s="278"/>
      <c r="J63" s="278"/>
      <c r="K63" s="278"/>
      <c r="L63" s="278"/>
      <c r="M63" s="278"/>
      <c r="N63" s="11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132"/>
      <c r="AD63" s="117"/>
      <c r="AE63" s="97"/>
      <c r="AF63" s="97"/>
      <c r="AG63" s="97"/>
      <c r="AH63" s="97"/>
      <c r="AI63" s="97"/>
      <c r="AJ63" s="97"/>
      <c r="AK63" s="97"/>
      <c r="AL63" s="97"/>
      <c r="AM63" s="97"/>
      <c r="AN63" s="97"/>
      <c r="AO63" s="97"/>
      <c r="AP63" s="97"/>
      <c r="AQ63" s="97"/>
      <c r="AR63" s="100"/>
      <c r="AS63" s="117"/>
      <c r="AT63" s="97"/>
      <c r="AU63" s="97"/>
      <c r="AV63" s="97"/>
      <c r="AW63" s="97"/>
      <c r="AX63" s="97"/>
      <c r="AY63" s="97"/>
      <c r="AZ63" s="97"/>
      <c r="BA63" s="97"/>
      <c r="BB63" s="97"/>
      <c r="BC63" s="97"/>
      <c r="BD63" s="98"/>
      <c r="BE63" s="98"/>
      <c r="BF63" s="98"/>
      <c r="BG63" s="98"/>
      <c r="BH63" s="132"/>
      <c r="BI63" s="211"/>
      <c r="BJ63" s="212"/>
      <c r="BK63" s="212"/>
      <c r="BL63" s="97"/>
      <c r="BM63" s="97"/>
      <c r="BN63" s="97"/>
      <c r="BO63" s="97"/>
      <c r="BP63" s="97"/>
      <c r="BQ63" s="97"/>
      <c r="BR63" s="97"/>
      <c r="BS63" s="97"/>
      <c r="BT63" s="97"/>
      <c r="BU63" s="97"/>
      <c r="BV63" s="97"/>
      <c r="BW63" s="97"/>
      <c r="BX63" s="100"/>
    </row>
    <row r="64" spans="2:76">
      <c r="B64" s="282" t="s">
        <v>106</v>
      </c>
      <c r="C64" s="283"/>
      <c r="D64" s="283"/>
      <c r="E64" s="271" t="s">
        <v>62</v>
      </c>
      <c r="F64" s="272"/>
      <c r="G64" s="272"/>
      <c r="H64" s="272"/>
      <c r="I64" s="272"/>
      <c r="J64" s="272"/>
      <c r="K64" s="272"/>
      <c r="L64" s="272"/>
      <c r="M64" s="272"/>
      <c r="N64" s="116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  <c r="AC64" s="128"/>
      <c r="AD64" s="116"/>
      <c r="AE64" s="91"/>
      <c r="AF64" s="91"/>
      <c r="AG64" s="91"/>
      <c r="AH64" s="91"/>
      <c r="AI64" s="91"/>
      <c r="AJ64" s="91"/>
      <c r="AK64" s="91"/>
      <c r="AL64" s="91"/>
      <c r="AM64" s="91"/>
      <c r="AN64" s="91"/>
      <c r="AO64" s="91"/>
      <c r="AP64" s="91"/>
      <c r="AQ64" s="91"/>
      <c r="AR64" s="93"/>
      <c r="AS64" s="116"/>
      <c r="AT64" s="91"/>
      <c r="AU64" s="91"/>
      <c r="AV64" s="91"/>
      <c r="AW64" s="202"/>
      <c r="AX64" s="202"/>
      <c r="AY64" s="202"/>
      <c r="AZ64" s="202"/>
      <c r="BA64" s="202"/>
      <c r="BB64" s="202"/>
      <c r="BC64" s="91"/>
      <c r="BD64" s="91"/>
      <c r="BE64" s="91"/>
      <c r="BF64" s="91"/>
      <c r="BG64" s="91"/>
      <c r="BH64" s="128"/>
      <c r="BI64" s="209"/>
      <c r="BJ64" s="210"/>
      <c r="BK64" s="210"/>
      <c r="BL64" s="91"/>
      <c r="BM64" s="91"/>
      <c r="BN64" s="91"/>
      <c r="BO64" s="91"/>
      <c r="BP64" s="91"/>
      <c r="BQ64" s="91"/>
      <c r="BR64" s="91"/>
      <c r="BS64" s="91"/>
      <c r="BT64" s="91"/>
      <c r="BU64" s="91"/>
      <c r="BV64" s="91"/>
      <c r="BW64" s="91"/>
      <c r="BX64" s="93"/>
    </row>
    <row r="65" spans="2:76">
      <c r="B65" s="284"/>
      <c r="C65" s="285"/>
      <c r="D65" s="285"/>
      <c r="E65" s="274" t="s">
        <v>63</v>
      </c>
      <c r="F65" s="275"/>
      <c r="G65" s="275"/>
      <c r="H65" s="275"/>
      <c r="I65" s="275"/>
      <c r="J65" s="275"/>
      <c r="K65" s="275"/>
      <c r="L65" s="275"/>
      <c r="M65" s="275"/>
      <c r="N65" s="113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129"/>
      <c r="AD65" s="113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94"/>
      <c r="AS65" s="113"/>
      <c r="AT65" s="70"/>
      <c r="AU65" s="70"/>
      <c r="AV65" s="70"/>
      <c r="AW65" s="70"/>
      <c r="AX65" s="70"/>
      <c r="AY65" s="70"/>
      <c r="AZ65" s="70"/>
      <c r="BA65" s="70"/>
      <c r="BB65" s="70"/>
      <c r="BC65" s="82"/>
      <c r="BD65" s="82"/>
      <c r="BE65" s="70"/>
      <c r="BF65" s="70"/>
      <c r="BG65" s="70"/>
      <c r="BH65" s="129"/>
      <c r="BI65" s="205"/>
      <c r="BJ65" s="206"/>
      <c r="BK65" s="206"/>
      <c r="BL65" s="70"/>
      <c r="BM65" s="70"/>
      <c r="BN65" s="70"/>
      <c r="BO65" s="70"/>
      <c r="BP65" s="70"/>
      <c r="BQ65" s="70"/>
      <c r="BR65" s="70"/>
      <c r="BS65" s="70"/>
      <c r="BT65" s="70"/>
      <c r="BU65" s="70"/>
      <c r="BV65" s="70"/>
      <c r="BW65" s="70"/>
      <c r="BX65" s="94"/>
    </row>
    <row r="66" spans="2:76">
      <c r="B66" s="284"/>
      <c r="C66" s="285"/>
      <c r="D66" s="285"/>
      <c r="E66" s="274" t="s">
        <v>64</v>
      </c>
      <c r="F66" s="275"/>
      <c r="G66" s="275"/>
      <c r="H66" s="275"/>
      <c r="I66" s="275"/>
      <c r="J66" s="275"/>
      <c r="K66" s="275"/>
      <c r="L66" s="275"/>
      <c r="M66" s="275"/>
      <c r="N66" s="113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129"/>
      <c r="AD66" s="113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94"/>
      <c r="AS66" s="113"/>
      <c r="AT66" s="70"/>
      <c r="AU66" s="70"/>
      <c r="AV66" s="70"/>
      <c r="AW66" s="70"/>
      <c r="AX66" s="70"/>
      <c r="AY66" s="70"/>
      <c r="AZ66" s="70"/>
      <c r="BA66" s="70"/>
      <c r="BB66" s="70"/>
      <c r="BC66" s="70"/>
      <c r="BD66" s="70"/>
      <c r="BE66" s="82"/>
      <c r="BF66" s="82"/>
      <c r="BG66" s="82"/>
      <c r="BH66" s="129"/>
      <c r="BI66" s="205"/>
      <c r="BJ66" s="206"/>
      <c r="BK66" s="206"/>
      <c r="BL66" s="70"/>
      <c r="BM66" s="70"/>
      <c r="BN66" s="70"/>
      <c r="BO66" s="70"/>
      <c r="BP66" s="70"/>
      <c r="BQ66" s="70"/>
      <c r="BR66" s="70"/>
      <c r="BS66" s="70"/>
      <c r="BT66" s="70"/>
      <c r="BU66" s="70"/>
      <c r="BV66" s="70"/>
      <c r="BW66" s="70"/>
      <c r="BX66" s="94"/>
    </row>
    <row r="67" spans="2:76">
      <c r="B67" s="284"/>
      <c r="C67" s="285"/>
      <c r="D67" s="285"/>
      <c r="E67" s="274" t="s">
        <v>67</v>
      </c>
      <c r="F67" s="275"/>
      <c r="G67" s="275"/>
      <c r="H67" s="275"/>
      <c r="I67" s="275"/>
      <c r="J67" s="275"/>
      <c r="K67" s="275"/>
      <c r="L67" s="275"/>
      <c r="M67" s="275"/>
      <c r="N67" s="113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129"/>
      <c r="AD67" s="113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94"/>
      <c r="AS67" s="113"/>
      <c r="AT67" s="70"/>
      <c r="AU67" s="70"/>
      <c r="AV67" s="70"/>
      <c r="AW67" s="70"/>
      <c r="AX67" s="70"/>
      <c r="AY67" s="70"/>
      <c r="AZ67" s="70"/>
      <c r="BA67" s="70"/>
      <c r="BB67" s="70"/>
      <c r="BC67" s="70"/>
      <c r="BD67" s="70"/>
      <c r="BE67" s="70"/>
      <c r="BF67" s="70"/>
      <c r="BG67" s="70"/>
      <c r="BH67" s="196"/>
      <c r="BI67" s="205"/>
      <c r="BJ67" s="206"/>
      <c r="BK67" s="206"/>
      <c r="BL67" s="82"/>
      <c r="BM67" s="82"/>
      <c r="BN67" s="70"/>
      <c r="BO67" s="70"/>
      <c r="BP67" s="70"/>
      <c r="BQ67" s="70"/>
      <c r="BR67" s="70"/>
      <c r="BS67" s="70"/>
      <c r="BT67" s="70"/>
      <c r="BU67" s="70"/>
      <c r="BV67" s="70"/>
      <c r="BW67" s="70"/>
      <c r="BX67" s="94"/>
    </row>
    <row r="68" spans="2:76" ht="13.8" thickBot="1">
      <c r="B68" s="286"/>
      <c r="C68" s="287"/>
      <c r="D68" s="287"/>
      <c r="E68" s="277" t="s">
        <v>68</v>
      </c>
      <c r="F68" s="278"/>
      <c r="G68" s="278"/>
      <c r="H68" s="278"/>
      <c r="I68" s="278"/>
      <c r="J68" s="278"/>
      <c r="K68" s="278"/>
      <c r="L68" s="278"/>
      <c r="M68" s="278"/>
      <c r="N68" s="11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97"/>
      <c r="AB68" s="97"/>
      <c r="AC68" s="132"/>
      <c r="AD68" s="117"/>
      <c r="AE68" s="97"/>
      <c r="AF68" s="97"/>
      <c r="AG68" s="97"/>
      <c r="AH68" s="97"/>
      <c r="AI68" s="97"/>
      <c r="AJ68" s="97"/>
      <c r="AK68" s="97"/>
      <c r="AL68" s="97"/>
      <c r="AM68" s="97"/>
      <c r="AN68" s="97"/>
      <c r="AO68" s="97"/>
      <c r="AP68" s="97"/>
      <c r="AQ68" s="97"/>
      <c r="AR68" s="100"/>
      <c r="AS68" s="117"/>
      <c r="AT68" s="97"/>
      <c r="AU68" s="97"/>
      <c r="AV68" s="97"/>
      <c r="AW68" s="97"/>
      <c r="AX68" s="97"/>
      <c r="AY68" s="97"/>
      <c r="AZ68" s="97"/>
      <c r="BA68" s="97"/>
      <c r="BB68" s="97"/>
      <c r="BC68" s="97"/>
      <c r="BD68" s="97"/>
      <c r="BE68" s="97"/>
      <c r="BF68" s="97"/>
      <c r="BG68" s="97"/>
      <c r="BH68" s="132"/>
      <c r="BI68" s="211"/>
      <c r="BJ68" s="212"/>
      <c r="BK68" s="212"/>
      <c r="BL68" s="97"/>
      <c r="BM68" s="97"/>
      <c r="BN68" s="103"/>
      <c r="BO68" s="103"/>
      <c r="BP68" s="97"/>
      <c r="BQ68" s="97"/>
      <c r="BR68" s="97"/>
      <c r="BS68" s="97"/>
      <c r="BT68" s="97"/>
      <c r="BU68" s="97"/>
      <c r="BV68" s="97"/>
      <c r="BW68" s="97"/>
      <c r="BX68" s="100"/>
    </row>
    <row r="69" spans="2:76" ht="13.8" thickBot="1">
      <c r="AD69" s="180"/>
      <c r="AE69" s="178"/>
      <c r="AF69" s="178"/>
      <c r="AG69" s="178"/>
      <c r="AH69" s="178"/>
      <c r="AI69" s="178"/>
      <c r="AJ69" s="178"/>
      <c r="AK69" s="178"/>
      <c r="AL69" s="178"/>
      <c r="AM69" s="178"/>
      <c r="AN69" s="178"/>
      <c r="AO69" s="178"/>
      <c r="AP69" s="178"/>
      <c r="AQ69" s="178"/>
      <c r="AR69" s="177"/>
      <c r="AS69" s="180"/>
      <c r="AT69" s="178"/>
      <c r="AU69" s="178"/>
      <c r="AV69" s="178"/>
      <c r="AW69" s="178"/>
      <c r="AX69" s="178"/>
      <c r="AY69" s="178"/>
      <c r="AZ69" s="178"/>
      <c r="BA69" s="178"/>
      <c r="BB69" s="178"/>
      <c r="BC69" s="178"/>
      <c r="BD69" s="178"/>
      <c r="BE69" s="178"/>
      <c r="BF69" s="178"/>
      <c r="BG69" s="178"/>
      <c r="BH69" s="179"/>
      <c r="BI69" s="213"/>
      <c r="BJ69" s="214"/>
      <c r="BK69" s="214"/>
      <c r="BL69" s="178"/>
      <c r="BM69" s="178"/>
      <c r="BN69" s="178"/>
      <c r="BO69" s="178"/>
      <c r="BP69" s="176"/>
      <c r="BQ69" s="176"/>
      <c r="BR69" s="176"/>
      <c r="BS69" s="176"/>
      <c r="BT69" s="178"/>
      <c r="BU69" s="178"/>
      <c r="BV69" s="178"/>
      <c r="BW69" s="178"/>
      <c r="BX69" s="204"/>
    </row>
    <row r="70" spans="2:76">
      <c r="B70" s="265" t="s">
        <v>146</v>
      </c>
      <c r="C70" s="266"/>
      <c r="D70" s="266"/>
      <c r="E70" s="271" t="s">
        <v>64</v>
      </c>
      <c r="F70" s="272"/>
      <c r="G70" s="272"/>
      <c r="H70" s="272"/>
      <c r="I70" s="272"/>
      <c r="J70" s="272"/>
      <c r="K70" s="272"/>
      <c r="L70" s="272"/>
      <c r="M70" s="273"/>
      <c r="N70" s="119"/>
      <c r="O70" s="119"/>
      <c r="P70" s="119"/>
      <c r="Q70" s="119"/>
      <c r="R70" s="119"/>
      <c r="S70" s="119"/>
      <c r="T70" s="119"/>
      <c r="U70" s="119"/>
      <c r="V70" s="119"/>
      <c r="W70" s="119"/>
      <c r="X70" s="119"/>
      <c r="Y70" s="119"/>
      <c r="Z70" s="119"/>
      <c r="AA70" s="119"/>
      <c r="AB70" s="119"/>
      <c r="AC70" s="119"/>
      <c r="AD70" s="189"/>
      <c r="AE70" s="190"/>
      <c r="AF70" s="190"/>
      <c r="AG70" s="190"/>
      <c r="AH70" s="190"/>
      <c r="AI70" s="190"/>
      <c r="AJ70" s="190"/>
      <c r="AK70" s="190"/>
      <c r="AL70" s="190"/>
      <c r="AM70" s="190"/>
      <c r="AN70" s="190"/>
      <c r="AO70" s="190"/>
      <c r="AP70" s="190"/>
      <c r="AQ70" s="190"/>
      <c r="AR70" s="191"/>
      <c r="AS70" s="189"/>
      <c r="AT70" s="190"/>
      <c r="AU70" s="190"/>
      <c r="AV70" s="190"/>
      <c r="AW70" s="190"/>
      <c r="AX70" s="190"/>
      <c r="AY70" s="190"/>
      <c r="AZ70" s="190"/>
      <c r="BA70" s="190"/>
      <c r="BB70" s="190"/>
      <c r="BC70" s="190"/>
      <c r="BD70" s="190"/>
      <c r="BE70" s="190"/>
      <c r="BF70" s="195"/>
      <c r="BG70" s="195"/>
      <c r="BH70" s="197"/>
      <c r="BI70" s="209"/>
      <c r="BJ70" s="210"/>
      <c r="BK70" s="210"/>
      <c r="BL70" s="91"/>
      <c r="BM70" s="91"/>
      <c r="BN70" s="91"/>
      <c r="BO70" s="91"/>
      <c r="BP70" s="90"/>
      <c r="BQ70" s="90"/>
      <c r="BR70" s="90"/>
      <c r="BS70" s="90"/>
      <c r="BT70" s="91"/>
      <c r="BU70" s="91"/>
      <c r="BV70" s="91"/>
      <c r="BW70" s="91"/>
      <c r="BX70" s="93"/>
    </row>
    <row r="71" spans="2:76">
      <c r="B71" s="267"/>
      <c r="C71" s="268"/>
      <c r="D71" s="268"/>
      <c r="E71" s="274" t="s">
        <v>67</v>
      </c>
      <c r="F71" s="275"/>
      <c r="G71" s="275"/>
      <c r="H71" s="275"/>
      <c r="I71" s="275"/>
      <c r="J71" s="275"/>
      <c r="K71" s="275"/>
      <c r="L71" s="275"/>
      <c r="M71" s="276"/>
      <c r="N71" s="77"/>
      <c r="O71" s="77"/>
      <c r="P71" s="77"/>
      <c r="Q71" s="77"/>
      <c r="R71" s="77"/>
      <c r="S71" s="77"/>
      <c r="T71" s="77"/>
      <c r="U71" s="77"/>
      <c r="V71" s="77"/>
      <c r="W71" s="77"/>
      <c r="X71" s="77"/>
      <c r="Y71" s="77"/>
      <c r="Z71" s="77"/>
      <c r="AA71" s="77"/>
      <c r="AB71" s="77"/>
      <c r="AC71" s="77"/>
      <c r="AD71" s="180"/>
      <c r="AE71" s="178"/>
      <c r="AF71" s="178"/>
      <c r="AG71" s="178"/>
      <c r="AH71" s="178"/>
      <c r="AI71" s="178"/>
      <c r="AJ71" s="178"/>
      <c r="AK71" s="178"/>
      <c r="AL71" s="178"/>
      <c r="AM71" s="178"/>
      <c r="AN71" s="178"/>
      <c r="AO71" s="178"/>
      <c r="AP71" s="178"/>
      <c r="AQ71" s="178"/>
      <c r="AR71" s="177"/>
      <c r="AS71" s="180"/>
      <c r="AT71" s="178"/>
      <c r="AU71" s="178"/>
      <c r="AV71" s="178"/>
      <c r="AW71" s="178"/>
      <c r="AX71" s="178"/>
      <c r="AY71" s="178"/>
      <c r="AZ71" s="178"/>
      <c r="BA71" s="178"/>
      <c r="BB71" s="178"/>
      <c r="BC71" s="178"/>
      <c r="BD71" s="178"/>
      <c r="BE71" s="178"/>
      <c r="BF71" s="178"/>
      <c r="BG71" s="178"/>
      <c r="BH71" s="179"/>
      <c r="BI71" s="205"/>
      <c r="BJ71" s="206"/>
      <c r="BK71" s="206"/>
      <c r="BL71" s="81"/>
      <c r="BM71" s="81"/>
      <c r="BN71" s="70"/>
      <c r="BO71" s="70"/>
      <c r="BP71" s="78"/>
      <c r="BQ71" s="78"/>
      <c r="BR71" s="78"/>
      <c r="BS71" s="78"/>
      <c r="BT71" s="70"/>
      <c r="BU71" s="70"/>
      <c r="BV71" s="70"/>
      <c r="BW71" s="70"/>
      <c r="BX71" s="94"/>
    </row>
    <row r="72" spans="2:76" ht="13.8" thickBot="1">
      <c r="B72" s="269"/>
      <c r="C72" s="270"/>
      <c r="D72" s="270"/>
      <c r="E72" s="277" t="s">
        <v>68</v>
      </c>
      <c r="F72" s="278"/>
      <c r="G72" s="278"/>
      <c r="H72" s="278"/>
      <c r="I72" s="278"/>
      <c r="J72" s="278"/>
      <c r="K72" s="278"/>
      <c r="L72" s="278"/>
      <c r="M72" s="279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92"/>
      <c r="AE72" s="193"/>
      <c r="AF72" s="193"/>
      <c r="AG72" s="193"/>
      <c r="AH72" s="193"/>
      <c r="AI72" s="193"/>
      <c r="AJ72" s="193"/>
      <c r="AK72" s="193"/>
      <c r="AL72" s="193"/>
      <c r="AM72" s="193"/>
      <c r="AN72" s="193"/>
      <c r="AO72" s="193"/>
      <c r="AP72" s="193"/>
      <c r="AQ72" s="193"/>
      <c r="AR72" s="194"/>
      <c r="AS72" s="192"/>
      <c r="AT72" s="193"/>
      <c r="AU72" s="193"/>
      <c r="AV72" s="193"/>
      <c r="AW72" s="193"/>
      <c r="AX72" s="193"/>
      <c r="AY72" s="193"/>
      <c r="AZ72" s="193"/>
      <c r="BA72" s="193"/>
      <c r="BB72" s="193"/>
      <c r="BC72" s="193"/>
      <c r="BD72" s="193"/>
      <c r="BE72" s="193"/>
      <c r="BF72" s="193"/>
      <c r="BG72" s="193"/>
      <c r="BH72" s="198"/>
      <c r="BI72" s="211"/>
      <c r="BJ72" s="212"/>
      <c r="BK72" s="212"/>
      <c r="BL72" s="97"/>
      <c r="BM72" s="97"/>
      <c r="BN72" s="98"/>
      <c r="BO72" s="98"/>
      <c r="BP72" s="203"/>
      <c r="BQ72" s="203"/>
      <c r="BR72" s="203"/>
      <c r="BS72" s="203"/>
      <c r="BT72" s="97"/>
      <c r="BU72" s="97"/>
      <c r="BV72" s="97"/>
      <c r="BW72" s="97"/>
      <c r="BX72" s="100"/>
    </row>
    <row r="73" spans="2:76">
      <c r="BI73" s="73"/>
      <c r="BJ73" s="73"/>
      <c r="BK73" s="73"/>
      <c r="BL73" s="73"/>
      <c r="BM73" s="73"/>
      <c r="BN73" s="73"/>
      <c r="BO73" s="73"/>
      <c r="BP73" s="73"/>
      <c r="BQ73" s="73"/>
      <c r="BR73" s="73"/>
      <c r="BS73" s="73"/>
    </row>
  </sheetData>
  <mergeCells count="71">
    <mergeCell ref="E11:M11"/>
    <mergeCell ref="B2:AA2"/>
    <mergeCell ref="N6:AC6"/>
    <mergeCell ref="AD6:AR6"/>
    <mergeCell ref="AS6:BH6"/>
    <mergeCell ref="B6:D7"/>
    <mergeCell ref="E6:M7"/>
    <mergeCell ref="B8:D18"/>
    <mergeCell ref="E21:M21"/>
    <mergeCell ref="E22:M22"/>
    <mergeCell ref="E23:M23"/>
    <mergeCell ref="E24:M24"/>
    <mergeCell ref="E25:M25"/>
    <mergeCell ref="E13:M13"/>
    <mergeCell ref="E14:M14"/>
    <mergeCell ref="E17:M17"/>
    <mergeCell ref="E16:M16"/>
    <mergeCell ref="E19:M19"/>
    <mergeCell ref="B19:D23"/>
    <mergeCell ref="E8:M8"/>
    <mergeCell ref="E9:M9"/>
    <mergeCell ref="E10:M10"/>
    <mergeCell ref="B30:D32"/>
    <mergeCell ref="E30:M30"/>
    <mergeCell ref="E31:M31"/>
    <mergeCell ref="E32:M32"/>
    <mergeCell ref="E26:M26"/>
    <mergeCell ref="E27:M27"/>
    <mergeCell ref="E28:M28"/>
    <mergeCell ref="B24:D28"/>
    <mergeCell ref="E18:M18"/>
    <mergeCell ref="E15:M15"/>
    <mergeCell ref="E20:M20"/>
    <mergeCell ref="E12:M12"/>
    <mergeCell ref="B36:D37"/>
    <mergeCell ref="E36:M37"/>
    <mergeCell ref="N36:AC36"/>
    <mergeCell ref="AD36:AR36"/>
    <mergeCell ref="AS36:BH36"/>
    <mergeCell ref="E60:M60"/>
    <mergeCell ref="E61:M61"/>
    <mergeCell ref="E62:M62"/>
    <mergeCell ref="E63:M63"/>
    <mergeCell ref="B38:D49"/>
    <mergeCell ref="E38:M38"/>
    <mergeCell ref="E39:M39"/>
    <mergeCell ref="E40:M40"/>
    <mergeCell ref="E41:M41"/>
    <mergeCell ref="E42:M42"/>
    <mergeCell ref="E43:M43"/>
    <mergeCell ref="E44:M44"/>
    <mergeCell ref="E46:M46"/>
    <mergeCell ref="E47:M47"/>
    <mergeCell ref="E48:M48"/>
    <mergeCell ref="E49:M49"/>
    <mergeCell ref="BI36:BX36"/>
    <mergeCell ref="B50:D54"/>
    <mergeCell ref="B55:D58"/>
    <mergeCell ref="B70:D72"/>
    <mergeCell ref="E70:M70"/>
    <mergeCell ref="E71:M71"/>
    <mergeCell ref="E72:M72"/>
    <mergeCell ref="E45:M45"/>
    <mergeCell ref="B64:D68"/>
    <mergeCell ref="E64:M64"/>
    <mergeCell ref="E65:M65"/>
    <mergeCell ref="E66:M66"/>
    <mergeCell ref="E67:M67"/>
    <mergeCell ref="E68:M68"/>
    <mergeCell ref="B59:D63"/>
    <mergeCell ref="E59:M59"/>
  </mergeCells>
  <phoneticPr fontId="4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2"/>
  <sheetViews>
    <sheetView tabSelected="1" topLeftCell="A22" workbookViewId="0">
      <selection activeCell="I46" sqref="I46"/>
    </sheetView>
  </sheetViews>
  <sheetFormatPr defaultRowHeight="13.2"/>
  <cols>
    <col min="2" max="2" width="16.77734375" bestFit="1" customWidth="1"/>
    <col min="3" max="3" width="20.33203125" bestFit="1" customWidth="1"/>
    <col min="4" max="4" width="13" style="22" bestFit="1" customWidth="1"/>
  </cols>
  <sheetData>
    <row r="1" spans="1:5" ht="13.8" thickBot="1"/>
    <row r="2" spans="1:5" ht="14.4">
      <c r="A2" s="46" t="s">
        <v>45</v>
      </c>
      <c r="B2" s="47" t="s">
        <v>46</v>
      </c>
      <c r="C2" s="48" t="s">
        <v>59</v>
      </c>
      <c r="D2" s="48" t="s">
        <v>47</v>
      </c>
      <c r="E2" s="49" t="s">
        <v>103</v>
      </c>
    </row>
    <row r="3" spans="1:5">
      <c r="A3" s="36" t="s">
        <v>48</v>
      </c>
      <c r="B3" s="2" t="s">
        <v>49</v>
      </c>
      <c r="C3" s="313" t="s">
        <v>102</v>
      </c>
      <c r="D3" s="25">
        <v>16</v>
      </c>
      <c r="E3" s="311">
        <f>SUM(D3:D11)</f>
        <v>319</v>
      </c>
    </row>
    <row r="4" spans="1:5">
      <c r="A4" s="37"/>
      <c r="B4" s="3" t="s">
        <v>51</v>
      </c>
      <c r="C4" s="309"/>
      <c r="D4" s="26">
        <v>8</v>
      </c>
      <c r="E4" s="311"/>
    </row>
    <row r="5" spans="1:5">
      <c r="A5" s="37"/>
      <c r="B5" s="3" t="s">
        <v>8</v>
      </c>
      <c r="C5" s="309"/>
      <c r="D5" s="26">
        <v>35</v>
      </c>
      <c r="E5" s="311"/>
    </row>
    <row r="6" spans="1:5">
      <c r="A6" s="37"/>
      <c r="B6" s="3" t="s">
        <v>9</v>
      </c>
      <c r="C6" s="309"/>
      <c r="D6" s="26">
        <v>32</v>
      </c>
      <c r="E6" s="311"/>
    </row>
    <row r="7" spans="1:5">
      <c r="A7" s="37"/>
      <c r="B7" s="3" t="s">
        <v>10</v>
      </c>
      <c r="C7" s="309"/>
      <c r="D7" s="26">
        <v>26</v>
      </c>
      <c r="E7" s="311"/>
    </row>
    <row r="8" spans="1:5">
      <c r="A8" s="37"/>
      <c r="B8" s="3" t="s">
        <v>12</v>
      </c>
      <c r="C8" s="309"/>
      <c r="D8" s="26">
        <v>16</v>
      </c>
      <c r="E8" s="311"/>
    </row>
    <row r="9" spans="1:5">
      <c r="A9" s="37"/>
      <c r="B9" s="3" t="s">
        <v>16</v>
      </c>
      <c r="C9" s="309"/>
      <c r="D9" s="26">
        <v>72</v>
      </c>
      <c r="E9" s="311"/>
    </row>
    <row r="10" spans="1:5">
      <c r="A10" s="37"/>
      <c r="B10" s="3" t="s">
        <v>24</v>
      </c>
      <c r="C10" s="309"/>
      <c r="D10" s="26">
        <v>66</v>
      </c>
      <c r="E10" s="311"/>
    </row>
    <row r="11" spans="1:5">
      <c r="A11" s="50"/>
      <c r="B11" s="8" t="s">
        <v>29</v>
      </c>
      <c r="C11" s="314"/>
      <c r="D11" s="27">
        <v>48</v>
      </c>
      <c r="E11" s="311"/>
    </row>
    <row r="12" spans="1:5">
      <c r="A12" s="36" t="s">
        <v>105</v>
      </c>
      <c r="B12" s="2" t="s">
        <v>62</v>
      </c>
      <c r="C12" s="315" t="s">
        <v>84</v>
      </c>
      <c r="D12" s="25">
        <v>56</v>
      </c>
      <c r="E12" s="311">
        <f>SUM(D12:D16)</f>
        <v>178</v>
      </c>
    </row>
    <row r="13" spans="1:5">
      <c r="A13" s="37"/>
      <c r="B13" s="3" t="s">
        <v>63</v>
      </c>
      <c r="C13" s="309"/>
      <c r="D13" s="26">
        <v>14</v>
      </c>
      <c r="E13" s="311"/>
    </row>
    <row r="14" spans="1:5">
      <c r="A14" s="37"/>
      <c r="B14" s="3" t="s">
        <v>64</v>
      </c>
      <c r="C14" s="309" t="s">
        <v>85</v>
      </c>
      <c r="D14" s="26">
        <v>36</v>
      </c>
      <c r="E14" s="311"/>
    </row>
    <row r="15" spans="1:5">
      <c r="A15" s="37"/>
      <c r="B15" s="3" t="s">
        <v>67</v>
      </c>
      <c r="C15" s="309"/>
      <c r="D15" s="26">
        <v>36</v>
      </c>
      <c r="E15" s="311"/>
    </row>
    <row r="16" spans="1:5">
      <c r="A16" s="50"/>
      <c r="B16" s="8" t="s">
        <v>68</v>
      </c>
      <c r="C16" s="314"/>
      <c r="D16" s="27">
        <v>36</v>
      </c>
      <c r="E16" s="311"/>
    </row>
    <row r="17" spans="1:5">
      <c r="A17" s="51" t="s">
        <v>106</v>
      </c>
      <c r="B17" s="9" t="s">
        <v>62</v>
      </c>
      <c r="C17" s="316" t="s">
        <v>86</v>
      </c>
      <c r="D17" s="28">
        <v>62</v>
      </c>
      <c r="E17" s="311">
        <f>SUM(D17:D21)</f>
        <v>158</v>
      </c>
    </row>
    <row r="18" spans="1:5">
      <c r="A18" s="37"/>
      <c r="B18" s="3" t="s">
        <v>63</v>
      </c>
      <c r="C18" s="309"/>
      <c r="D18" s="26">
        <v>12</v>
      </c>
      <c r="E18" s="311"/>
    </row>
    <row r="19" spans="1:5">
      <c r="A19" s="37"/>
      <c r="B19" s="3" t="s">
        <v>64</v>
      </c>
      <c r="C19" s="309" t="s">
        <v>87</v>
      </c>
      <c r="D19" s="26">
        <v>28</v>
      </c>
      <c r="E19" s="311"/>
    </row>
    <row r="20" spans="1:5">
      <c r="A20" s="37"/>
      <c r="B20" s="3" t="s">
        <v>67</v>
      </c>
      <c r="C20" s="309"/>
      <c r="D20" s="26">
        <v>28</v>
      </c>
      <c r="E20" s="311"/>
    </row>
    <row r="21" spans="1:5" ht="13.8" thickBot="1">
      <c r="A21" s="52"/>
      <c r="B21" s="40" t="s">
        <v>68</v>
      </c>
      <c r="C21" s="310"/>
      <c r="D21" s="53">
        <v>28</v>
      </c>
      <c r="E21" s="312"/>
    </row>
    <row r="23" spans="1:5">
      <c r="C23" t="s">
        <v>104</v>
      </c>
      <c r="D23" s="22">
        <f>SUM(D3:D22)</f>
        <v>655</v>
      </c>
      <c r="E23" s="22" t="str">
        <f>INT(SUM(E3:E22)/160) &amp; "人月"</f>
        <v>4人月</v>
      </c>
    </row>
    <row r="25" spans="1:5" ht="13.8" thickBot="1">
      <c r="A25" t="s">
        <v>160</v>
      </c>
    </row>
    <row r="26" spans="1:5" ht="14.4">
      <c r="A26" s="46" t="s">
        <v>45</v>
      </c>
      <c r="B26" s="47" t="s">
        <v>46</v>
      </c>
      <c r="C26" s="48" t="s">
        <v>59</v>
      </c>
      <c r="D26" s="48" t="s">
        <v>47</v>
      </c>
      <c r="E26" s="49" t="s">
        <v>103</v>
      </c>
    </row>
    <row r="27" spans="1:5">
      <c r="A27" s="37" t="s">
        <v>161</v>
      </c>
      <c r="B27" s="3" t="s">
        <v>51</v>
      </c>
      <c r="C27" s="309"/>
      <c r="D27" s="153">
        <v>5</v>
      </c>
      <c r="E27" s="311">
        <f>SUM(D27:D32)</f>
        <v>40</v>
      </c>
    </row>
    <row r="28" spans="1:5">
      <c r="A28" s="37"/>
      <c r="B28" s="3" t="s">
        <v>8</v>
      </c>
      <c r="C28" s="309"/>
      <c r="D28" s="153">
        <v>6</v>
      </c>
      <c r="E28" s="311"/>
    </row>
    <row r="29" spans="1:5">
      <c r="A29" s="37"/>
      <c r="B29" s="3" t="s">
        <v>10</v>
      </c>
      <c r="C29" s="309"/>
      <c r="D29" s="153">
        <v>16</v>
      </c>
      <c r="E29" s="311"/>
    </row>
    <row r="30" spans="1:5">
      <c r="A30" s="37"/>
      <c r="B30" s="3" t="s">
        <v>12</v>
      </c>
      <c r="C30" s="309"/>
      <c r="D30" s="153">
        <v>5</v>
      </c>
      <c r="E30" s="311"/>
    </row>
    <row r="31" spans="1:5">
      <c r="A31" s="37"/>
      <c r="B31" s="3" t="s">
        <v>16</v>
      </c>
      <c r="C31" s="309"/>
      <c r="D31" s="153">
        <v>4</v>
      </c>
      <c r="E31" s="311"/>
    </row>
    <row r="32" spans="1:5" ht="13.8" thickBot="1">
      <c r="A32" s="52"/>
      <c r="B32" s="40" t="s">
        <v>24</v>
      </c>
      <c r="C32" s="310"/>
      <c r="D32" s="154">
        <v>4</v>
      </c>
      <c r="E32" s="312"/>
    </row>
    <row r="33" spans="1:5">
      <c r="C33" t="s">
        <v>104</v>
      </c>
      <c r="D33" s="22">
        <f>SUM(D27:D32)</f>
        <v>40</v>
      </c>
      <c r="E33" s="22" t="str">
        <f>ROUND(SUM(E27)/160,2) &amp; "人月"</f>
        <v>0.25人月</v>
      </c>
    </row>
    <row r="34" spans="1:5" ht="13.8" thickBot="1">
      <c r="A34" t="s">
        <v>162</v>
      </c>
    </row>
    <row r="35" spans="1:5" ht="14.4">
      <c r="A35" s="46" t="s">
        <v>45</v>
      </c>
      <c r="B35" s="47" t="s">
        <v>46</v>
      </c>
      <c r="C35" s="48" t="s">
        <v>59</v>
      </c>
      <c r="D35" s="48" t="s">
        <v>47</v>
      </c>
      <c r="E35" s="49" t="s">
        <v>103</v>
      </c>
    </row>
    <row r="36" spans="1:5">
      <c r="A36" s="36" t="s">
        <v>163</v>
      </c>
      <c r="B36" s="2" t="s">
        <v>205</v>
      </c>
      <c r="C36" s="340"/>
      <c r="D36" s="168">
        <v>24</v>
      </c>
      <c r="E36" s="311">
        <f>SUM(D36:D50)</f>
        <v>333</v>
      </c>
    </row>
    <row r="37" spans="1:5">
      <c r="A37" s="37"/>
      <c r="B37" s="3" t="s">
        <v>154</v>
      </c>
      <c r="C37" s="337"/>
      <c r="D37" s="166">
        <v>25</v>
      </c>
      <c r="E37" s="311"/>
    </row>
    <row r="38" spans="1:5">
      <c r="A38" s="50"/>
      <c r="B38" s="8" t="s">
        <v>206</v>
      </c>
      <c r="C38" s="341"/>
      <c r="D38" s="167">
        <v>18</v>
      </c>
      <c r="E38" s="311"/>
    </row>
    <row r="39" spans="1:5">
      <c r="A39" s="36" t="s">
        <v>48</v>
      </c>
      <c r="B39" s="2" t="s">
        <v>154</v>
      </c>
      <c r="C39" s="340"/>
      <c r="D39" s="168">
        <v>20</v>
      </c>
      <c r="E39" s="311"/>
    </row>
    <row r="40" spans="1:5">
      <c r="A40" s="37"/>
      <c r="B40" s="3" t="s">
        <v>206</v>
      </c>
      <c r="C40" s="337"/>
      <c r="D40" s="166">
        <v>32</v>
      </c>
      <c r="E40" s="311"/>
    </row>
    <row r="41" spans="1:5">
      <c r="A41" s="37"/>
      <c r="B41" s="3" t="s">
        <v>208</v>
      </c>
      <c r="C41" s="337"/>
      <c r="D41" s="166">
        <v>44</v>
      </c>
      <c r="E41" s="311"/>
    </row>
    <row r="42" spans="1:5">
      <c r="A42" s="37"/>
      <c r="B42" s="3" t="s">
        <v>209</v>
      </c>
      <c r="C42" s="337"/>
      <c r="D42" s="166">
        <v>23</v>
      </c>
      <c r="E42" s="311"/>
    </row>
    <row r="43" spans="1:5">
      <c r="A43" s="37"/>
      <c r="B43" s="3" t="s">
        <v>210</v>
      </c>
      <c r="C43" s="337"/>
      <c r="D43" s="166">
        <v>31</v>
      </c>
      <c r="E43" s="311"/>
    </row>
    <row r="44" spans="1:5">
      <c r="A44" s="50"/>
      <c r="B44" s="8" t="s">
        <v>211</v>
      </c>
      <c r="C44" s="341"/>
      <c r="D44" s="167">
        <v>11</v>
      </c>
      <c r="E44" s="311"/>
    </row>
    <row r="45" spans="1:5">
      <c r="A45" s="36" t="s">
        <v>105</v>
      </c>
      <c r="B45" s="2" t="s">
        <v>212</v>
      </c>
      <c r="C45" s="340"/>
      <c r="D45" s="168">
        <v>29</v>
      </c>
      <c r="E45" s="311"/>
    </row>
    <row r="46" spans="1:5">
      <c r="A46" s="50"/>
      <c r="B46" s="8" t="s">
        <v>200</v>
      </c>
      <c r="C46" s="341"/>
      <c r="D46" s="167">
        <v>44</v>
      </c>
      <c r="E46" s="336"/>
    </row>
    <row r="47" spans="1:5">
      <c r="A47" s="164" t="s">
        <v>164</v>
      </c>
      <c r="B47" s="11" t="s">
        <v>64</v>
      </c>
      <c r="C47" s="342"/>
      <c r="D47" s="343">
        <v>8</v>
      </c>
      <c r="E47" s="336"/>
    </row>
    <row r="48" spans="1:5">
      <c r="A48" s="34"/>
      <c r="B48" s="10" t="s">
        <v>67</v>
      </c>
      <c r="C48" s="338"/>
      <c r="D48" s="335">
        <v>8</v>
      </c>
      <c r="E48" s="336"/>
    </row>
    <row r="49" spans="1:5">
      <c r="A49" s="34"/>
      <c r="B49" s="10" t="s">
        <v>68</v>
      </c>
      <c r="C49" s="338"/>
      <c r="D49" s="335">
        <v>8</v>
      </c>
      <c r="E49" s="336"/>
    </row>
    <row r="50" spans="1:5" ht="13.8" thickBot="1">
      <c r="A50" s="52"/>
      <c r="B50" s="40" t="s">
        <v>213</v>
      </c>
      <c r="C50" s="339"/>
      <c r="D50" s="169">
        <v>8</v>
      </c>
      <c r="E50" s="312"/>
    </row>
    <row r="52" spans="1:5">
      <c r="C52" t="s">
        <v>104</v>
      </c>
      <c r="D52" s="22">
        <f>SUM(D36:D51)</f>
        <v>333</v>
      </c>
      <c r="E52" s="22" t="str">
        <f>ROUND(SUM(E36:E51)/160,2) &amp; "人月"</f>
        <v>2.08人月</v>
      </c>
    </row>
  </sheetData>
  <mergeCells count="11">
    <mergeCell ref="C27:C32"/>
    <mergeCell ref="E27:E32"/>
    <mergeCell ref="E36:E50"/>
    <mergeCell ref="E3:E11"/>
    <mergeCell ref="E12:E16"/>
    <mergeCell ref="E17:E21"/>
    <mergeCell ref="C3:C11"/>
    <mergeCell ref="C12:C13"/>
    <mergeCell ref="C14:C16"/>
    <mergeCell ref="C17:C18"/>
    <mergeCell ref="C19:C21"/>
  </mergeCells>
  <phoneticPr fontId="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1"/>
  <sheetViews>
    <sheetView topLeftCell="A147" workbookViewId="0">
      <selection activeCell="F172" sqref="F172:F179"/>
    </sheetView>
  </sheetViews>
  <sheetFormatPr defaultColWidth="9" defaultRowHeight="12"/>
  <cols>
    <col min="1" max="1" width="11" style="20" customWidth="1"/>
    <col min="2" max="2" width="16.21875" style="1" bestFit="1" customWidth="1"/>
    <col min="3" max="3" width="5" style="1" hidden="1" customWidth="1"/>
    <col min="4" max="4" width="61.77734375" style="1" bestFit="1" customWidth="1"/>
    <col min="5" max="5" width="18.33203125" style="20" customWidth="1"/>
    <col min="6" max="6" width="17" style="20" bestFit="1" customWidth="1"/>
    <col min="7" max="16384" width="9" style="1"/>
  </cols>
  <sheetData>
    <row r="1" spans="1:6" ht="12.6" thickBot="1"/>
    <row r="2" spans="1:6" ht="14.4">
      <c r="A2" s="30" t="s">
        <v>45</v>
      </c>
      <c r="B2" s="31" t="s">
        <v>46</v>
      </c>
      <c r="C2" s="32" t="s">
        <v>43</v>
      </c>
      <c r="D2" s="32" t="s">
        <v>44</v>
      </c>
      <c r="E2" s="32" t="s">
        <v>59</v>
      </c>
      <c r="F2" s="33" t="s">
        <v>47</v>
      </c>
    </row>
    <row r="3" spans="1:6">
      <c r="A3" s="34" t="s">
        <v>48</v>
      </c>
      <c r="B3" s="10" t="s">
        <v>49</v>
      </c>
      <c r="C3" s="4" t="s">
        <v>0</v>
      </c>
      <c r="D3" s="3" t="s">
        <v>31</v>
      </c>
      <c r="E3" s="319" t="s">
        <v>71</v>
      </c>
      <c r="F3" s="41">
        <v>4</v>
      </c>
    </row>
    <row r="4" spans="1:6" ht="13.5" customHeight="1">
      <c r="A4" s="35"/>
      <c r="B4" s="11"/>
      <c r="C4" s="4" t="s">
        <v>1</v>
      </c>
      <c r="D4" s="3" t="s">
        <v>32</v>
      </c>
      <c r="E4" s="285"/>
      <c r="F4" s="41">
        <v>4</v>
      </c>
    </row>
    <row r="5" spans="1:6" ht="13.5" customHeight="1">
      <c r="A5" s="35"/>
      <c r="B5" s="12"/>
      <c r="C5" s="8" t="s">
        <v>3</v>
      </c>
      <c r="D5" s="8" t="s">
        <v>33</v>
      </c>
      <c r="E5" s="285"/>
      <c r="F5" s="42">
        <v>8</v>
      </c>
    </row>
    <row r="6" spans="1:6" ht="13.5" customHeight="1">
      <c r="A6" s="35"/>
      <c r="B6" s="13" t="s">
        <v>51</v>
      </c>
      <c r="C6" s="14" t="s">
        <v>0</v>
      </c>
      <c r="D6" s="14" t="s">
        <v>52</v>
      </c>
      <c r="E6" s="285"/>
      <c r="F6" s="43">
        <v>4</v>
      </c>
    </row>
    <row r="7" spans="1:6" ht="13.5" customHeight="1">
      <c r="A7" s="35"/>
      <c r="B7" s="12"/>
      <c r="C7" s="15" t="s">
        <v>1</v>
      </c>
      <c r="D7" s="15" t="s">
        <v>53</v>
      </c>
      <c r="E7" s="285"/>
      <c r="F7" s="42">
        <v>4</v>
      </c>
    </row>
    <row r="8" spans="1:6" ht="13.5" customHeight="1">
      <c r="A8" s="35"/>
      <c r="B8" s="13" t="s">
        <v>8</v>
      </c>
      <c r="C8" s="16" t="s">
        <v>0</v>
      </c>
      <c r="D8" s="17" t="s">
        <v>95</v>
      </c>
      <c r="E8" s="285"/>
      <c r="F8" s="43">
        <v>2</v>
      </c>
    </row>
    <row r="9" spans="1:6" ht="13.5" customHeight="1">
      <c r="A9" s="35"/>
      <c r="B9" s="11"/>
      <c r="C9" s="6" t="s">
        <v>1</v>
      </c>
      <c r="D9" s="4" t="s">
        <v>2</v>
      </c>
      <c r="E9" s="285"/>
      <c r="F9" s="41">
        <v>8</v>
      </c>
    </row>
    <row r="10" spans="1:6" ht="13.5" customHeight="1">
      <c r="A10" s="35"/>
      <c r="B10" s="11"/>
      <c r="C10" s="4" t="s">
        <v>3</v>
      </c>
      <c r="D10" s="5" t="s">
        <v>96</v>
      </c>
      <c r="E10" s="285"/>
      <c r="F10" s="41">
        <v>8</v>
      </c>
    </row>
    <row r="11" spans="1:6" ht="13.5" customHeight="1">
      <c r="A11" s="35"/>
      <c r="B11" s="11"/>
      <c r="C11" s="4" t="s">
        <v>4</v>
      </c>
      <c r="D11" s="4" t="s">
        <v>97</v>
      </c>
      <c r="E11" s="285"/>
      <c r="F11" s="41">
        <v>8</v>
      </c>
    </row>
    <row r="12" spans="1:6" ht="13.5" customHeight="1">
      <c r="A12" s="35"/>
      <c r="B12" s="11"/>
      <c r="C12" s="4" t="s">
        <v>5</v>
      </c>
      <c r="D12" s="4" t="s">
        <v>98</v>
      </c>
      <c r="E12" s="285"/>
      <c r="F12" s="41">
        <v>8</v>
      </c>
    </row>
    <row r="13" spans="1:6" ht="13.5" customHeight="1">
      <c r="A13" s="35"/>
      <c r="B13" s="12"/>
      <c r="C13" s="18" t="s">
        <v>6</v>
      </c>
      <c r="D13" s="18" t="s">
        <v>7</v>
      </c>
      <c r="E13" s="285"/>
      <c r="F13" s="42">
        <v>1</v>
      </c>
    </row>
    <row r="14" spans="1:6" ht="13.5" customHeight="1">
      <c r="A14" s="35"/>
      <c r="B14" s="13" t="s">
        <v>9</v>
      </c>
      <c r="C14" s="16" t="s">
        <v>0</v>
      </c>
      <c r="D14" s="17" t="s">
        <v>99</v>
      </c>
      <c r="E14" s="285"/>
      <c r="F14" s="43">
        <v>4</v>
      </c>
    </row>
    <row r="15" spans="1:6" ht="13.5" customHeight="1">
      <c r="A15" s="35"/>
      <c r="B15" s="11"/>
      <c r="C15" s="6" t="s">
        <v>1</v>
      </c>
      <c r="D15" s="4" t="s">
        <v>72</v>
      </c>
      <c r="E15" s="285"/>
      <c r="F15" s="41">
        <v>16</v>
      </c>
    </row>
    <row r="16" spans="1:6" ht="13.5" customHeight="1">
      <c r="A16" s="35"/>
      <c r="B16" s="11"/>
      <c r="C16" s="4" t="s">
        <v>3</v>
      </c>
      <c r="D16" s="5" t="s">
        <v>73</v>
      </c>
      <c r="E16" s="285"/>
      <c r="F16" s="41">
        <v>8</v>
      </c>
    </row>
    <row r="17" spans="1:6" ht="13.5" customHeight="1">
      <c r="A17" s="35"/>
      <c r="B17" s="12"/>
      <c r="C17" s="15" t="s">
        <v>4</v>
      </c>
      <c r="D17" s="15" t="s">
        <v>74</v>
      </c>
      <c r="E17" s="285"/>
      <c r="F17" s="42">
        <v>4</v>
      </c>
    </row>
    <row r="18" spans="1:6" ht="13.5" customHeight="1">
      <c r="A18" s="35"/>
      <c r="B18" s="13" t="s">
        <v>10</v>
      </c>
      <c r="C18" s="16" t="s">
        <v>0</v>
      </c>
      <c r="D18" s="17" t="s">
        <v>75</v>
      </c>
      <c r="E18" s="285"/>
      <c r="F18" s="43">
        <v>2</v>
      </c>
    </row>
    <row r="19" spans="1:6" ht="13.5" customHeight="1">
      <c r="A19" s="35"/>
      <c r="B19" s="11"/>
      <c r="C19" s="6" t="s">
        <v>11</v>
      </c>
      <c r="D19" s="4" t="s">
        <v>76</v>
      </c>
      <c r="E19" s="285"/>
      <c r="F19" s="41">
        <v>8</v>
      </c>
    </row>
    <row r="20" spans="1:6" ht="13.5" customHeight="1">
      <c r="A20" s="35"/>
      <c r="B20" s="11"/>
      <c r="C20" s="4" t="s">
        <v>3</v>
      </c>
      <c r="D20" s="5" t="s">
        <v>77</v>
      </c>
      <c r="E20" s="285"/>
      <c r="F20" s="41">
        <v>8</v>
      </c>
    </row>
    <row r="21" spans="1:6" ht="13.5" customHeight="1">
      <c r="A21" s="35"/>
      <c r="B21" s="12"/>
      <c r="C21" s="15" t="s">
        <v>4</v>
      </c>
      <c r="D21" s="15" t="s">
        <v>78</v>
      </c>
      <c r="E21" s="285"/>
      <c r="F21" s="42">
        <v>8</v>
      </c>
    </row>
    <row r="22" spans="1:6" ht="13.5" customHeight="1">
      <c r="A22" s="35"/>
      <c r="B22" s="13" t="s">
        <v>12</v>
      </c>
      <c r="C22" s="16" t="s">
        <v>13</v>
      </c>
      <c r="D22" s="17" t="s">
        <v>58</v>
      </c>
      <c r="E22" s="285"/>
      <c r="F22" s="43">
        <v>8</v>
      </c>
    </row>
    <row r="23" spans="1:6" ht="13.5" customHeight="1">
      <c r="A23" s="35"/>
      <c r="B23" s="12"/>
      <c r="C23" s="15" t="s">
        <v>14</v>
      </c>
      <c r="D23" s="19" t="s">
        <v>15</v>
      </c>
      <c r="E23" s="285"/>
      <c r="F23" s="42">
        <v>8</v>
      </c>
    </row>
    <row r="24" spans="1:6" ht="13.5" customHeight="1">
      <c r="A24" s="35"/>
      <c r="B24" s="13" t="s">
        <v>16</v>
      </c>
      <c r="C24" s="16" t="s">
        <v>0</v>
      </c>
      <c r="D24" s="17" t="s">
        <v>93</v>
      </c>
      <c r="E24" s="285"/>
      <c r="F24" s="43">
        <v>8</v>
      </c>
    </row>
    <row r="25" spans="1:6" ht="13.5" customHeight="1">
      <c r="A25" s="35"/>
      <c r="B25" s="11"/>
      <c r="C25" s="4" t="s">
        <v>3</v>
      </c>
      <c r="D25" s="5" t="s">
        <v>17</v>
      </c>
      <c r="E25" s="285"/>
      <c r="F25" s="41">
        <v>8</v>
      </c>
    </row>
    <row r="26" spans="1:6" ht="13.5" customHeight="1">
      <c r="A26" s="35"/>
      <c r="B26" s="11"/>
      <c r="C26" s="4" t="s">
        <v>18</v>
      </c>
      <c r="D26" s="5" t="s">
        <v>19</v>
      </c>
      <c r="E26" s="285"/>
      <c r="F26" s="41">
        <v>16</v>
      </c>
    </row>
    <row r="27" spans="1:6" ht="13.5" customHeight="1">
      <c r="A27" s="35"/>
      <c r="B27" s="11"/>
      <c r="C27" s="4" t="s">
        <v>5</v>
      </c>
      <c r="D27" s="5" t="s">
        <v>100</v>
      </c>
      <c r="E27" s="285"/>
      <c r="F27" s="41">
        <v>16</v>
      </c>
    </row>
    <row r="28" spans="1:6" ht="13.5" customHeight="1">
      <c r="A28" s="35"/>
      <c r="B28" s="11"/>
      <c r="C28" s="4" t="s">
        <v>20</v>
      </c>
      <c r="D28" s="5" t="s">
        <v>21</v>
      </c>
      <c r="E28" s="285"/>
      <c r="F28" s="41">
        <v>16</v>
      </c>
    </row>
    <row r="29" spans="1:6" ht="13.5" customHeight="1">
      <c r="A29" s="35"/>
      <c r="B29" s="12"/>
      <c r="C29" s="15" t="s">
        <v>22</v>
      </c>
      <c r="D29" s="15" t="s">
        <v>23</v>
      </c>
      <c r="E29" s="285"/>
      <c r="F29" s="42">
        <v>8</v>
      </c>
    </row>
    <row r="30" spans="1:6" ht="13.5" customHeight="1">
      <c r="A30" s="35"/>
      <c r="B30" s="13" t="s">
        <v>24</v>
      </c>
      <c r="C30" s="16" t="s">
        <v>0</v>
      </c>
      <c r="D30" s="17" t="s">
        <v>25</v>
      </c>
      <c r="E30" s="285"/>
      <c r="F30" s="43">
        <v>4</v>
      </c>
    </row>
    <row r="31" spans="1:6" ht="13.5" customHeight="1">
      <c r="A31" s="35"/>
      <c r="B31" s="11"/>
      <c r="C31" s="6" t="s">
        <v>1</v>
      </c>
      <c r="D31" s="4" t="s">
        <v>26</v>
      </c>
      <c r="E31" s="285"/>
      <c r="F31" s="41">
        <v>4</v>
      </c>
    </row>
    <row r="32" spans="1:6" ht="13.5" customHeight="1">
      <c r="A32" s="35"/>
      <c r="B32" s="11"/>
      <c r="C32" s="4" t="s">
        <v>3</v>
      </c>
      <c r="D32" s="5" t="s">
        <v>27</v>
      </c>
      <c r="E32" s="285"/>
      <c r="F32" s="41">
        <v>8</v>
      </c>
    </row>
    <row r="33" spans="1:6" ht="13.5" customHeight="1">
      <c r="A33" s="35"/>
      <c r="B33" s="11"/>
      <c r="C33" s="4" t="s">
        <v>4</v>
      </c>
      <c r="D33" s="5" t="s">
        <v>94</v>
      </c>
      <c r="E33" s="285"/>
      <c r="F33" s="41">
        <v>2</v>
      </c>
    </row>
    <row r="34" spans="1:6" ht="13.5" customHeight="1">
      <c r="A34" s="35"/>
      <c r="B34" s="11"/>
      <c r="C34" s="7" t="s">
        <v>34</v>
      </c>
      <c r="D34" s="7" t="s">
        <v>35</v>
      </c>
      <c r="E34" s="285"/>
      <c r="F34" s="41">
        <v>16</v>
      </c>
    </row>
    <row r="35" spans="1:6" ht="13.5" customHeight="1">
      <c r="A35" s="35"/>
      <c r="B35" s="11"/>
      <c r="C35" s="7" t="s">
        <v>6</v>
      </c>
      <c r="D35" s="7" t="s">
        <v>36</v>
      </c>
      <c r="E35" s="285"/>
      <c r="F35" s="41">
        <v>12</v>
      </c>
    </row>
    <row r="36" spans="1:6" ht="13.5" customHeight="1">
      <c r="A36" s="35"/>
      <c r="B36" s="11"/>
      <c r="C36" s="4" t="s">
        <v>22</v>
      </c>
      <c r="D36" s="5" t="s">
        <v>28</v>
      </c>
      <c r="E36" s="285"/>
      <c r="F36" s="41">
        <v>12</v>
      </c>
    </row>
    <row r="37" spans="1:6" ht="13.5" customHeight="1">
      <c r="A37" s="35"/>
      <c r="B37" s="12"/>
      <c r="C37" s="15" t="s">
        <v>37</v>
      </c>
      <c r="D37" s="19" t="s">
        <v>38</v>
      </c>
      <c r="E37" s="318"/>
      <c r="F37" s="42">
        <v>8</v>
      </c>
    </row>
    <row r="38" spans="1:6">
      <c r="A38" s="35"/>
      <c r="B38" s="13" t="s">
        <v>29</v>
      </c>
      <c r="C38" s="2" t="s">
        <v>0</v>
      </c>
      <c r="D38" s="16" t="s">
        <v>54</v>
      </c>
      <c r="E38" s="320" t="s">
        <v>101</v>
      </c>
      <c r="F38" s="43">
        <v>8</v>
      </c>
    </row>
    <row r="39" spans="1:6" ht="13.5" customHeight="1">
      <c r="A39" s="35"/>
      <c r="B39" s="11"/>
      <c r="C39" s="3" t="s">
        <v>39</v>
      </c>
      <c r="D39" s="6" t="s">
        <v>55</v>
      </c>
      <c r="E39" s="321"/>
      <c r="F39" s="41">
        <v>8</v>
      </c>
    </row>
    <row r="40" spans="1:6">
      <c r="A40" s="35"/>
      <c r="B40" s="11"/>
      <c r="C40" s="3" t="s">
        <v>3</v>
      </c>
      <c r="D40" s="4" t="s">
        <v>30</v>
      </c>
      <c r="E40" s="21" t="s">
        <v>61</v>
      </c>
      <c r="F40" s="41">
        <v>8</v>
      </c>
    </row>
    <row r="41" spans="1:6">
      <c r="A41" s="35"/>
      <c r="B41" s="11"/>
      <c r="C41" s="3" t="s">
        <v>40</v>
      </c>
      <c r="D41" s="3" t="s">
        <v>60</v>
      </c>
      <c r="E41" s="322" t="s">
        <v>83</v>
      </c>
      <c r="F41" s="41">
        <v>8</v>
      </c>
    </row>
    <row r="42" spans="1:6" ht="13.5" customHeight="1">
      <c r="A42" s="35"/>
      <c r="B42" s="11"/>
      <c r="C42" s="10" t="s">
        <v>41</v>
      </c>
      <c r="D42" s="10" t="s">
        <v>42</v>
      </c>
      <c r="E42" s="318"/>
      <c r="F42" s="44">
        <v>16</v>
      </c>
    </row>
    <row r="43" spans="1:6">
      <c r="A43" s="36" t="s">
        <v>56</v>
      </c>
      <c r="B43" s="2" t="s">
        <v>62</v>
      </c>
      <c r="C43" s="2"/>
      <c r="D43" s="2" t="s">
        <v>50</v>
      </c>
      <c r="E43" s="317" t="s">
        <v>65</v>
      </c>
      <c r="F43" s="43">
        <v>8</v>
      </c>
    </row>
    <row r="44" spans="1:6" ht="13.5" customHeight="1">
      <c r="A44" s="37"/>
      <c r="B44" s="3"/>
      <c r="C44" s="3"/>
      <c r="D44" s="3" t="s">
        <v>8</v>
      </c>
      <c r="E44" s="285"/>
      <c r="F44" s="41">
        <v>4</v>
      </c>
    </row>
    <row r="45" spans="1:6" ht="13.5" customHeight="1">
      <c r="A45" s="37"/>
      <c r="B45" s="3"/>
      <c r="C45" s="3"/>
      <c r="D45" s="3" t="s">
        <v>9</v>
      </c>
      <c r="E45" s="285"/>
      <c r="F45" s="41">
        <v>8</v>
      </c>
    </row>
    <row r="46" spans="1:6" ht="13.5" customHeight="1">
      <c r="A46" s="37"/>
      <c r="B46" s="3"/>
      <c r="C46" s="3"/>
      <c r="D46" s="3" t="s">
        <v>10</v>
      </c>
      <c r="E46" s="285"/>
      <c r="F46" s="41">
        <v>4</v>
      </c>
    </row>
    <row r="47" spans="1:6" ht="13.5" customHeight="1">
      <c r="A47" s="37"/>
      <c r="B47" s="3"/>
      <c r="C47" s="3"/>
      <c r="D47" s="3" t="s">
        <v>12</v>
      </c>
      <c r="E47" s="285"/>
      <c r="F47" s="41">
        <v>8</v>
      </c>
    </row>
    <row r="48" spans="1:6" ht="13.5" customHeight="1">
      <c r="A48" s="37"/>
      <c r="B48" s="3"/>
      <c r="C48" s="3"/>
      <c r="D48" s="3" t="s">
        <v>16</v>
      </c>
      <c r="E48" s="285"/>
      <c r="F48" s="41">
        <v>8</v>
      </c>
    </row>
    <row r="49" spans="1:6" ht="13.5" customHeight="1">
      <c r="A49" s="37"/>
      <c r="B49" s="3"/>
      <c r="C49" s="3"/>
      <c r="D49" s="3" t="s">
        <v>24</v>
      </c>
      <c r="E49" s="285"/>
      <c r="F49" s="41">
        <v>8</v>
      </c>
    </row>
    <row r="50" spans="1:6" ht="13.5" customHeight="1">
      <c r="A50" s="37"/>
      <c r="B50" s="10"/>
      <c r="C50" s="10"/>
      <c r="D50" s="10" t="s">
        <v>29</v>
      </c>
      <c r="E50" s="285"/>
      <c r="F50" s="44">
        <v>8</v>
      </c>
    </row>
    <row r="51" spans="1:6">
      <c r="A51" s="37"/>
      <c r="B51" s="2" t="s">
        <v>63</v>
      </c>
      <c r="C51" s="2"/>
      <c r="D51" s="2" t="s">
        <v>50</v>
      </c>
      <c r="E51" s="285"/>
      <c r="F51" s="43">
        <v>1</v>
      </c>
    </row>
    <row r="52" spans="1:6" ht="13.5" customHeight="1">
      <c r="A52" s="37"/>
      <c r="B52" s="3"/>
      <c r="C52" s="3"/>
      <c r="D52" s="3" t="s">
        <v>8</v>
      </c>
      <c r="E52" s="285"/>
      <c r="F52" s="41">
        <v>1</v>
      </c>
    </row>
    <row r="53" spans="1:6" ht="13.5" customHeight="1">
      <c r="A53" s="37"/>
      <c r="B53" s="3"/>
      <c r="C53" s="3"/>
      <c r="D53" s="3" t="s">
        <v>9</v>
      </c>
      <c r="E53" s="285"/>
      <c r="F53" s="41">
        <v>2</v>
      </c>
    </row>
    <row r="54" spans="1:6" ht="13.5" customHeight="1">
      <c r="A54" s="37"/>
      <c r="B54" s="3"/>
      <c r="C54" s="3"/>
      <c r="D54" s="3" t="s">
        <v>10</v>
      </c>
      <c r="E54" s="285"/>
      <c r="F54" s="41">
        <v>2</v>
      </c>
    </row>
    <row r="55" spans="1:6" ht="13.5" customHeight="1">
      <c r="A55" s="37"/>
      <c r="B55" s="3"/>
      <c r="C55" s="3"/>
      <c r="D55" s="3" t="s">
        <v>12</v>
      </c>
      <c r="E55" s="285"/>
      <c r="F55" s="41">
        <v>2</v>
      </c>
    </row>
    <row r="56" spans="1:6" ht="13.5" customHeight="1">
      <c r="A56" s="37"/>
      <c r="B56" s="3"/>
      <c r="C56" s="3"/>
      <c r="D56" s="3" t="s">
        <v>16</v>
      </c>
      <c r="E56" s="285"/>
      <c r="F56" s="41">
        <v>2</v>
      </c>
    </row>
    <row r="57" spans="1:6" ht="13.5" customHeight="1">
      <c r="A57" s="37"/>
      <c r="B57" s="3"/>
      <c r="C57" s="3"/>
      <c r="D57" s="3" t="s">
        <v>24</v>
      </c>
      <c r="E57" s="285"/>
      <c r="F57" s="41">
        <v>2</v>
      </c>
    </row>
    <row r="58" spans="1:6" ht="13.5" customHeight="1">
      <c r="A58" s="37"/>
      <c r="B58" s="8"/>
      <c r="C58" s="8"/>
      <c r="D58" s="8" t="s">
        <v>29</v>
      </c>
      <c r="E58" s="318"/>
      <c r="F58" s="42">
        <v>2</v>
      </c>
    </row>
    <row r="59" spans="1:6">
      <c r="A59" s="37"/>
      <c r="B59" s="2" t="s">
        <v>64</v>
      </c>
      <c r="C59" s="2"/>
      <c r="D59" s="2" t="s">
        <v>50</v>
      </c>
      <c r="E59" s="317" t="s">
        <v>66</v>
      </c>
      <c r="F59" s="43">
        <v>2</v>
      </c>
    </row>
    <row r="60" spans="1:6" ht="13.5" customHeight="1">
      <c r="A60" s="37"/>
      <c r="B60" s="3"/>
      <c r="C60" s="3"/>
      <c r="D60" s="3" t="s">
        <v>8</v>
      </c>
      <c r="E60" s="285"/>
      <c r="F60" s="41">
        <v>2</v>
      </c>
    </row>
    <row r="61" spans="1:6" ht="13.5" customHeight="1">
      <c r="A61" s="37"/>
      <c r="B61" s="3"/>
      <c r="C61" s="3"/>
      <c r="D61" s="3" t="s">
        <v>9</v>
      </c>
      <c r="E61" s="285"/>
      <c r="F61" s="41">
        <v>4</v>
      </c>
    </row>
    <row r="62" spans="1:6" ht="13.5" customHeight="1">
      <c r="A62" s="37"/>
      <c r="B62" s="3"/>
      <c r="C62" s="3"/>
      <c r="D62" s="3" t="s">
        <v>10</v>
      </c>
      <c r="E62" s="285"/>
      <c r="F62" s="41">
        <v>4</v>
      </c>
    </row>
    <row r="63" spans="1:6" ht="13.5" customHeight="1">
      <c r="A63" s="37"/>
      <c r="B63" s="3"/>
      <c r="C63" s="3"/>
      <c r="D63" s="3" t="s">
        <v>12</v>
      </c>
      <c r="E63" s="285"/>
      <c r="F63" s="41">
        <v>4</v>
      </c>
    </row>
    <row r="64" spans="1:6" ht="13.5" customHeight="1">
      <c r="A64" s="37"/>
      <c r="B64" s="3"/>
      <c r="C64" s="3"/>
      <c r="D64" s="3" t="s">
        <v>16</v>
      </c>
      <c r="E64" s="285"/>
      <c r="F64" s="41">
        <v>8</v>
      </c>
    </row>
    <row r="65" spans="1:6" ht="13.5" customHeight="1">
      <c r="A65" s="37"/>
      <c r="B65" s="3"/>
      <c r="C65" s="3"/>
      <c r="D65" s="3" t="s">
        <v>24</v>
      </c>
      <c r="E65" s="285"/>
      <c r="F65" s="41">
        <v>8</v>
      </c>
    </row>
    <row r="66" spans="1:6" ht="13.5" customHeight="1">
      <c r="A66" s="37"/>
      <c r="B66" s="8"/>
      <c r="C66" s="8"/>
      <c r="D66" s="8" t="s">
        <v>29</v>
      </c>
      <c r="E66" s="285"/>
      <c r="F66" s="42">
        <v>4</v>
      </c>
    </row>
    <row r="67" spans="1:6" ht="13.5" customHeight="1">
      <c r="A67" s="37"/>
      <c r="B67" s="2" t="s">
        <v>67</v>
      </c>
      <c r="C67" s="2"/>
      <c r="D67" s="2" t="s">
        <v>50</v>
      </c>
      <c r="E67" s="285"/>
      <c r="F67" s="43">
        <v>2</v>
      </c>
    </row>
    <row r="68" spans="1:6" ht="13.5" customHeight="1">
      <c r="A68" s="37"/>
      <c r="B68" s="3"/>
      <c r="C68" s="3"/>
      <c r="D68" s="3" t="s">
        <v>8</v>
      </c>
      <c r="E68" s="285"/>
      <c r="F68" s="41">
        <v>2</v>
      </c>
    </row>
    <row r="69" spans="1:6" ht="13.5" customHeight="1">
      <c r="A69" s="37"/>
      <c r="B69" s="3"/>
      <c r="C69" s="3"/>
      <c r="D69" s="3" t="s">
        <v>9</v>
      </c>
      <c r="E69" s="285"/>
      <c r="F69" s="41">
        <v>4</v>
      </c>
    </row>
    <row r="70" spans="1:6" ht="13.5" customHeight="1">
      <c r="A70" s="37"/>
      <c r="B70" s="3"/>
      <c r="C70" s="3"/>
      <c r="D70" s="3" t="s">
        <v>10</v>
      </c>
      <c r="E70" s="285"/>
      <c r="F70" s="41">
        <v>4</v>
      </c>
    </row>
    <row r="71" spans="1:6" ht="13.5" customHeight="1">
      <c r="A71" s="37"/>
      <c r="B71" s="3"/>
      <c r="C71" s="3"/>
      <c r="D71" s="3" t="s">
        <v>12</v>
      </c>
      <c r="E71" s="285"/>
      <c r="F71" s="41">
        <v>4</v>
      </c>
    </row>
    <row r="72" spans="1:6" ht="13.5" customHeight="1">
      <c r="A72" s="37"/>
      <c r="B72" s="3"/>
      <c r="C72" s="3"/>
      <c r="D72" s="3" t="s">
        <v>16</v>
      </c>
      <c r="E72" s="285"/>
      <c r="F72" s="41">
        <v>8</v>
      </c>
    </row>
    <row r="73" spans="1:6" ht="13.5" customHeight="1">
      <c r="A73" s="37"/>
      <c r="B73" s="3"/>
      <c r="C73" s="3"/>
      <c r="D73" s="3" t="s">
        <v>24</v>
      </c>
      <c r="E73" s="285"/>
      <c r="F73" s="41">
        <v>8</v>
      </c>
    </row>
    <row r="74" spans="1:6" ht="13.5" customHeight="1">
      <c r="A74" s="37"/>
      <c r="B74" s="8"/>
      <c r="C74" s="8"/>
      <c r="D74" s="8" t="s">
        <v>29</v>
      </c>
      <c r="E74" s="285"/>
      <c r="F74" s="42">
        <v>4</v>
      </c>
    </row>
    <row r="75" spans="1:6" ht="13.5" customHeight="1">
      <c r="A75" s="37"/>
      <c r="B75" s="9" t="s">
        <v>68</v>
      </c>
      <c r="C75" s="9"/>
      <c r="D75" s="9" t="s">
        <v>50</v>
      </c>
      <c r="E75" s="285"/>
      <c r="F75" s="43">
        <v>2</v>
      </c>
    </row>
    <row r="76" spans="1:6" ht="13.5" customHeight="1">
      <c r="A76" s="37"/>
      <c r="B76" s="3"/>
      <c r="C76" s="3"/>
      <c r="D76" s="3" t="s">
        <v>8</v>
      </c>
      <c r="E76" s="285"/>
      <c r="F76" s="41">
        <v>2</v>
      </c>
    </row>
    <row r="77" spans="1:6" ht="13.5" customHeight="1">
      <c r="A77" s="37"/>
      <c r="B77" s="3"/>
      <c r="C77" s="3"/>
      <c r="D77" s="3" t="s">
        <v>9</v>
      </c>
      <c r="E77" s="285"/>
      <c r="F77" s="41">
        <v>4</v>
      </c>
    </row>
    <row r="78" spans="1:6" ht="13.5" customHeight="1">
      <c r="A78" s="37"/>
      <c r="B78" s="3"/>
      <c r="C78" s="3"/>
      <c r="D78" s="3" t="s">
        <v>10</v>
      </c>
      <c r="E78" s="285"/>
      <c r="F78" s="41">
        <v>4</v>
      </c>
    </row>
    <row r="79" spans="1:6" ht="13.5" customHeight="1">
      <c r="A79" s="37"/>
      <c r="B79" s="3"/>
      <c r="C79" s="3"/>
      <c r="D79" s="3" t="s">
        <v>12</v>
      </c>
      <c r="E79" s="285"/>
      <c r="F79" s="41">
        <v>4</v>
      </c>
    </row>
    <row r="80" spans="1:6" ht="13.5" customHeight="1">
      <c r="A80" s="37"/>
      <c r="B80" s="3"/>
      <c r="C80" s="3"/>
      <c r="D80" s="3" t="s">
        <v>82</v>
      </c>
      <c r="E80" s="285"/>
      <c r="F80" s="41">
        <v>8</v>
      </c>
    </row>
    <row r="81" spans="1:6" ht="13.5" customHeight="1">
      <c r="A81" s="37"/>
      <c r="B81" s="3"/>
      <c r="C81" s="3"/>
      <c r="D81" s="3" t="s">
        <v>24</v>
      </c>
      <c r="E81" s="285"/>
      <c r="F81" s="41">
        <v>8</v>
      </c>
    </row>
    <row r="82" spans="1:6" ht="13.5" customHeight="1">
      <c r="A82" s="37"/>
      <c r="B82" s="3"/>
      <c r="C82" s="3"/>
      <c r="D82" s="8" t="s">
        <v>79</v>
      </c>
      <c r="E82" s="318"/>
      <c r="F82" s="42">
        <v>4</v>
      </c>
    </row>
    <row r="83" spans="1:6">
      <c r="A83" s="36" t="s">
        <v>57</v>
      </c>
      <c r="B83" s="2" t="s">
        <v>62</v>
      </c>
      <c r="C83" s="2"/>
      <c r="D83" s="2" t="s">
        <v>79</v>
      </c>
      <c r="E83" s="317" t="s">
        <v>69</v>
      </c>
      <c r="F83" s="43">
        <v>8</v>
      </c>
    </row>
    <row r="84" spans="1:6">
      <c r="A84" s="37"/>
      <c r="B84" s="3"/>
      <c r="C84" s="3"/>
      <c r="D84" s="3" t="s">
        <v>88</v>
      </c>
      <c r="E84" s="285"/>
      <c r="F84" s="41">
        <v>6</v>
      </c>
    </row>
    <row r="85" spans="1:6">
      <c r="A85" s="37"/>
      <c r="B85" s="3"/>
      <c r="C85" s="3"/>
      <c r="D85" s="29" t="s">
        <v>90</v>
      </c>
      <c r="E85" s="285"/>
      <c r="F85" s="41">
        <v>8</v>
      </c>
    </row>
    <row r="86" spans="1:6">
      <c r="A86" s="37"/>
      <c r="B86" s="3"/>
      <c r="C86" s="3"/>
      <c r="D86" s="29" t="s">
        <v>91</v>
      </c>
      <c r="E86" s="285"/>
      <c r="F86" s="41">
        <v>8</v>
      </c>
    </row>
    <row r="87" spans="1:6">
      <c r="A87" s="37"/>
      <c r="B87" s="3"/>
      <c r="C87" s="3"/>
      <c r="D87" s="29" t="s">
        <v>92</v>
      </c>
      <c r="E87" s="285"/>
      <c r="F87" s="41">
        <v>8</v>
      </c>
    </row>
    <row r="88" spans="1:6">
      <c r="A88" s="37"/>
      <c r="B88" s="3"/>
      <c r="C88" s="3"/>
      <c r="D88" s="3" t="s">
        <v>80</v>
      </c>
      <c r="E88" s="285"/>
      <c r="F88" s="41">
        <v>8</v>
      </c>
    </row>
    <row r="89" spans="1:6">
      <c r="A89" s="37"/>
      <c r="B89" s="3"/>
      <c r="C89" s="3"/>
      <c r="D89" s="3" t="s">
        <v>81</v>
      </c>
      <c r="E89" s="285"/>
      <c r="F89" s="41">
        <v>8</v>
      </c>
    </row>
    <row r="90" spans="1:6">
      <c r="A90" s="37"/>
      <c r="B90" s="10"/>
      <c r="C90" s="10"/>
      <c r="D90" s="3" t="s">
        <v>89</v>
      </c>
      <c r="E90" s="285"/>
      <c r="F90" s="44">
        <v>8</v>
      </c>
    </row>
    <row r="91" spans="1:6">
      <c r="A91" s="37"/>
      <c r="B91" s="2" t="s">
        <v>63</v>
      </c>
      <c r="C91" s="2"/>
      <c r="D91" s="2" t="s">
        <v>79</v>
      </c>
      <c r="E91" s="285"/>
      <c r="F91" s="43">
        <v>1</v>
      </c>
    </row>
    <row r="92" spans="1:6">
      <c r="A92" s="37"/>
      <c r="B92" s="3"/>
      <c r="C92" s="3"/>
      <c r="D92" s="3" t="s">
        <v>88</v>
      </c>
      <c r="E92" s="285"/>
      <c r="F92" s="41">
        <v>1</v>
      </c>
    </row>
    <row r="93" spans="1:6">
      <c r="A93" s="37"/>
      <c r="B93" s="3"/>
      <c r="C93" s="3"/>
      <c r="D93" s="29" t="s">
        <v>90</v>
      </c>
      <c r="E93" s="285"/>
      <c r="F93" s="41">
        <v>2</v>
      </c>
    </row>
    <row r="94" spans="1:6">
      <c r="A94" s="37"/>
      <c r="B94" s="3"/>
      <c r="C94" s="3"/>
      <c r="D94" s="29" t="s">
        <v>91</v>
      </c>
      <c r="E94" s="285"/>
      <c r="F94" s="41">
        <v>2</v>
      </c>
    </row>
    <row r="95" spans="1:6">
      <c r="A95" s="37"/>
      <c r="B95" s="3"/>
      <c r="C95" s="3"/>
      <c r="D95" s="29" t="s">
        <v>92</v>
      </c>
      <c r="E95" s="285"/>
      <c r="F95" s="41">
        <v>2</v>
      </c>
    </row>
    <row r="96" spans="1:6">
      <c r="A96" s="37"/>
      <c r="B96" s="3"/>
      <c r="C96" s="3"/>
      <c r="D96" s="3" t="s">
        <v>80</v>
      </c>
      <c r="E96" s="285"/>
      <c r="F96" s="41">
        <v>2</v>
      </c>
    </row>
    <row r="97" spans="1:6">
      <c r="A97" s="37"/>
      <c r="B97" s="3"/>
      <c r="C97" s="3"/>
      <c r="D97" s="3" t="s">
        <v>81</v>
      </c>
      <c r="E97" s="285"/>
      <c r="F97" s="41">
        <v>2</v>
      </c>
    </row>
    <row r="98" spans="1:6">
      <c r="A98" s="37"/>
      <c r="B98" s="8"/>
      <c r="C98" s="8"/>
      <c r="D98" s="3" t="s">
        <v>89</v>
      </c>
      <c r="E98" s="318"/>
      <c r="F98" s="42">
        <v>2</v>
      </c>
    </row>
    <row r="99" spans="1:6">
      <c r="A99" s="38"/>
      <c r="B99" s="2" t="s">
        <v>64</v>
      </c>
      <c r="C99" s="2"/>
      <c r="D99" s="2" t="s">
        <v>79</v>
      </c>
      <c r="E99" s="317" t="s">
        <v>70</v>
      </c>
      <c r="F99" s="43">
        <v>2</v>
      </c>
    </row>
    <row r="100" spans="1:6">
      <c r="A100" s="38"/>
      <c r="B100" s="3"/>
      <c r="C100" s="3"/>
      <c r="D100" s="3" t="s">
        <v>88</v>
      </c>
      <c r="E100" s="285"/>
      <c r="F100" s="41">
        <v>2</v>
      </c>
    </row>
    <row r="101" spans="1:6">
      <c r="A101" s="38"/>
      <c r="B101" s="3"/>
      <c r="C101" s="3"/>
      <c r="D101" s="29" t="s">
        <v>90</v>
      </c>
      <c r="E101" s="285"/>
      <c r="F101" s="41">
        <v>2</v>
      </c>
    </row>
    <row r="102" spans="1:6">
      <c r="A102" s="38"/>
      <c r="B102" s="3"/>
      <c r="C102" s="3"/>
      <c r="D102" s="29" t="s">
        <v>91</v>
      </c>
      <c r="E102" s="285"/>
      <c r="F102" s="41">
        <v>2</v>
      </c>
    </row>
    <row r="103" spans="1:6" ht="12.75" customHeight="1">
      <c r="A103" s="38"/>
      <c r="B103" s="3"/>
      <c r="C103" s="3"/>
      <c r="D103" s="29" t="s">
        <v>92</v>
      </c>
      <c r="E103" s="285"/>
      <c r="F103" s="41">
        <v>8</v>
      </c>
    </row>
    <row r="104" spans="1:6">
      <c r="A104" s="38"/>
      <c r="B104" s="3"/>
      <c r="C104" s="3"/>
      <c r="D104" s="3" t="s">
        <v>80</v>
      </c>
      <c r="E104" s="285"/>
      <c r="F104" s="41">
        <v>4</v>
      </c>
    </row>
    <row r="105" spans="1:6">
      <c r="A105" s="38"/>
      <c r="B105" s="3"/>
      <c r="C105" s="3"/>
      <c r="D105" s="3" t="s">
        <v>81</v>
      </c>
      <c r="E105" s="285"/>
      <c r="F105" s="41">
        <v>4</v>
      </c>
    </row>
    <row r="106" spans="1:6">
      <c r="A106" s="38"/>
      <c r="B106" s="8"/>
      <c r="C106" s="10"/>
      <c r="D106" s="3" t="s">
        <v>89</v>
      </c>
      <c r="E106" s="285"/>
      <c r="F106" s="44">
        <v>4</v>
      </c>
    </row>
    <row r="107" spans="1:6">
      <c r="A107" s="38"/>
      <c r="B107" s="2" t="s">
        <v>67</v>
      </c>
      <c r="C107" s="2"/>
      <c r="D107" s="2" t="s">
        <v>79</v>
      </c>
      <c r="E107" s="285"/>
      <c r="F107" s="43">
        <v>2</v>
      </c>
    </row>
    <row r="108" spans="1:6">
      <c r="A108" s="38"/>
      <c r="B108" s="3"/>
      <c r="C108" s="3"/>
      <c r="D108" s="3" t="s">
        <v>88</v>
      </c>
      <c r="E108" s="285"/>
      <c r="F108" s="41">
        <v>2</v>
      </c>
    </row>
    <row r="109" spans="1:6">
      <c r="A109" s="38"/>
      <c r="B109" s="3"/>
      <c r="C109" s="3"/>
      <c r="D109" s="29" t="s">
        <v>90</v>
      </c>
      <c r="E109" s="285"/>
      <c r="F109" s="41">
        <v>2</v>
      </c>
    </row>
    <row r="110" spans="1:6">
      <c r="A110" s="38"/>
      <c r="B110" s="3"/>
      <c r="C110" s="3"/>
      <c r="D110" s="29" t="s">
        <v>91</v>
      </c>
      <c r="E110" s="285"/>
      <c r="F110" s="41">
        <v>2</v>
      </c>
    </row>
    <row r="111" spans="1:6">
      <c r="A111" s="38"/>
      <c r="B111" s="3"/>
      <c r="C111" s="3"/>
      <c r="D111" s="29" t="s">
        <v>92</v>
      </c>
      <c r="E111" s="285"/>
      <c r="F111" s="41">
        <v>8</v>
      </c>
    </row>
    <row r="112" spans="1:6">
      <c r="A112" s="38"/>
      <c r="B112" s="3"/>
      <c r="C112" s="3"/>
      <c r="D112" s="3" t="s">
        <v>80</v>
      </c>
      <c r="E112" s="285"/>
      <c r="F112" s="41">
        <v>4</v>
      </c>
    </row>
    <row r="113" spans="1:6">
      <c r="A113" s="38"/>
      <c r="B113" s="3"/>
      <c r="C113" s="3"/>
      <c r="D113" s="3" t="s">
        <v>81</v>
      </c>
      <c r="E113" s="285"/>
      <c r="F113" s="41">
        <v>4</v>
      </c>
    </row>
    <row r="114" spans="1:6">
      <c r="A114" s="38"/>
      <c r="B114" s="8"/>
      <c r="C114" s="8"/>
      <c r="D114" s="3" t="s">
        <v>89</v>
      </c>
      <c r="E114" s="285"/>
      <c r="F114" s="44">
        <v>4</v>
      </c>
    </row>
    <row r="115" spans="1:6">
      <c r="A115" s="38"/>
      <c r="B115" s="9" t="s">
        <v>68</v>
      </c>
      <c r="C115" s="2"/>
      <c r="D115" s="2" t="s">
        <v>79</v>
      </c>
      <c r="E115" s="285"/>
      <c r="F115" s="43">
        <v>2</v>
      </c>
    </row>
    <row r="116" spans="1:6">
      <c r="A116" s="38"/>
      <c r="B116" s="3"/>
      <c r="C116" s="3"/>
      <c r="D116" s="3" t="s">
        <v>88</v>
      </c>
      <c r="E116" s="285"/>
      <c r="F116" s="41">
        <v>2</v>
      </c>
    </row>
    <row r="117" spans="1:6">
      <c r="A117" s="38"/>
      <c r="B117" s="3"/>
      <c r="C117" s="3"/>
      <c r="D117" s="29" t="s">
        <v>90</v>
      </c>
      <c r="E117" s="285"/>
      <c r="F117" s="41">
        <v>2</v>
      </c>
    </row>
    <row r="118" spans="1:6">
      <c r="A118" s="38"/>
      <c r="B118" s="3"/>
      <c r="C118" s="3"/>
      <c r="D118" s="29" t="s">
        <v>91</v>
      </c>
      <c r="E118" s="285"/>
      <c r="F118" s="41">
        <v>2</v>
      </c>
    </row>
    <row r="119" spans="1:6">
      <c r="A119" s="38"/>
      <c r="B119" s="3"/>
      <c r="C119" s="3"/>
      <c r="D119" s="29" t="s">
        <v>92</v>
      </c>
      <c r="E119" s="285"/>
      <c r="F119" s="41">
        <v>8</v>
      </c>
    </row>
    <row r="120" spans="1:6">
      <c r="A120" s="38"/>
      <c r="B120" s="3"/>
      <c r="C120" s="3"/>
      <c r="D120" s="3" t="s">
        <v>80</v>
      </c>
      <c r="E120" s="285"/>
      <c r="F120" s="41">
        <v>4</v>
      </c>
    </row>
    <row r="121" spans="1:6">
      <c r="A121" s="38"/>
      <c r="B121" s="3"/>
      <c r="C121" s="3"/>
      <c r="D121" s="3" t="s">
        <v>81</v>
      </c>
      <c r="E121" s="285"/>
      <c r="F121" s="41">
        <v>4</v>
      </c>
    </row>
    <row r="122" spans="1:6" ht="12.6" thickBot="1">
      <c r="A122" s="39"/>
      <c r="B122" s="40"/>
      <c r="C122" s="40"/>
      <c r="D122" s="40" t="s">
        <v>89</v>
      </c>
      <c r="E122" s="287"/>
      <c r="F122" s="45">
        <v>4</v>
      </c>
    </row>
    <row r="125" spans="1:6" ht="12.6" thickBot="1">
      <c r="A125" s="20" t="s">
        <v>165</v>
      </c>
    </row>
    <row r="126" spans="1:6" ht="14.4">
      <c r="A126" s="330" t="s">
        <v>45</v>
      </c>
      <c r="B126" s="331" t="s">
        <v>46</v>
      </c>
      <c r="C126" s="32" t="s">
        <v>43</v>
      </c>
      <c r="D126" s="32" t="s">
        <v>44</v>
      </c>
      <c r="E126" s="32" t="s">
        <v>59</v>
      </c>
      <c r="F126" s="33" t="s">
        <v>47</v>
      </c>
    </row>
    <row r="127" spans="1:6" ht="14.4" customHeight="1">
      <c r="A127" s="171" t="s">
        <v>166</v>
      </c>
      <c r="B127" s="10" t="s">
        <v>204</v>
      </c>
      <c r="C127" s="4" t="s">
        <v>0</v>
      </c>
      <c r="D127" s="3" t="s">
        <v>153</v>
      </c>
      <c r="E127" s="325" t="s">
        <v>167</v>
      </c>
      <c r="F127" s="41">
        <v>4</v>
      </c>
    </row>
    <row r="128" spans="1:6" ht="14.4" customHeight="1">
      <c r="A128" s="165"/>
      <c r="B128" s="11"/>
      <c r="C128" s="4" t="s">
        <v>1</v>
      </c>
      <c r="D128" s="3" t="s">
        <v>168</v>
      </c>
      <c r="E128" s="326"/>
      <c r="F128" s="41">
        <v>12</v>
      </c>
    </row>
    <row r="129" spans="1:6" ht="14.4" customHeight="1">
      <c r="A129" s="165"/>
      <c r="B129" s="12"/>
      <c r="C129" s="8" t="s">
        <v>3</v>
      </c>
      <c r="D129" s="8" t="s">
        <v>169</v>
      </c>
      <c r="E129" s="326"/>
      <c r="F129" s="42">
        <v>8</v>
      </c>
    </row>
    <row r="130" spans="1:6" ht="14.4" customHeight="1">
      <c r="A130" s="165"/>
      <c r="B130" s="13" t="s">
        <v>154</v>
      </c>
      <c r="C130" s="16" t="s">
        <v>0</v>
      </c>
      <c r="D130" s="17" t="s">
        <v>170</v>
      </c>
      <c r="E130" s="326"/>
      <c r="F130" s="43">
        <v>2</v>
      </c>
    </row>
    <row r="131" spans="1:6" ht="14.4" customHeight="1">
      <c r="A131" s="165"/>
      <c r="B131" s="11"/>
      <c r="C131" s="6" t="s">
        <v>1</v>
      </c>
      <c r="D131" s="4" t="s">
        <v>171</v>
      </c>
      <c r="E131" s="326"/>
      <c r="F131" s="41">
        <v>4</v>
      </c>
    </row>
    <row r="132" spans="1:6" ht="14.4" customHeight="1">
      <c r="A132" s="165"/>
      <c r="B132" s="11"/>
      <c r="C132" s="4" t="s">
        <v>3</v>
      </c>
      <c r="D132" s="5" t="s">
        <v>172</v>
      </c>
      <c r="E132" s="326"/>
      <c r="F132" s="41">
        <v>2</v>
      </c>
    </row>
    <row r="133" spans="1:6" ht="14.4" customHeight="1">
      <c r="A133" s="165"/>
      <c r="B133" s="11"/>
      <c r="C133" s="4" t="s">
        <v>4</v>
      </c>
      <c r="D133" s="4" t="s">
        <v>173</v>
      </c>
      <c r="E133" s="326"/>
      <c r="F133" s="41">
        <v>8</v>
      </c>
    </row>
    <row r="134" spans="1:6" ht="14.4" customHeight="1">
      <c r="A134" s="165"/>
      <c r="B134" s="11"/>
      <c r="C134" s="4" t="s">
        <v>5</v>
      </c>
      <c r="D134" s="4" t="s">
        <v>175</v>
      </c>
      <c r="E134" s="326"/>
      <c r="F134" s="41">
        <v>8</v>
      </c>
    </row>
    <row r="135" spans="1:6" ht="14.4" customHeight="1">
      <c r="A135" s="165"/>
      <c r="B135" s="12"/>
      <c r="C135" s="18" t="s">
        <v>6</v>
      </c>
      <c r="D135" s="18" t="s">
        <v>176</v>
      </c>
      <c r="E135" s="326"/>
      <c r="F135" s="42">
        <v>1</v>
      </c>
    </row>
    <row r="136" spans="1:6" ht="14.4" customHeight="1">
      <c r="A136" s="165"/>
      <c r="B136" s="13" t="s">
        <v>177</v>
      </c>
      <c r="C136" s="16" t="s">
        <v>0</v>
      </c>
      <c r="D136" s="17" t="s">
        <v>174</v>
      </c>
      <c r="E136" s="326"/>
      <c r="F136" s="43">
        <v>8</v>
      </c>
    </row>
    <row r="137" spans="1:6" ht="14.4" customHeight="1">
      <c r="A137" s="165"/>
      <c r="B137" s="11"/>
      <c r="C137" s="6" t="s">
        <v>1</v>
      </c>
      <c r="D137" s="18" t="s">
        <v>176</v>
      </c>
      <c r="E137" s="326"/>
      <c r="F137" s="41">
        <v>4</v>
      </c>
    </row>
    <row r="138" spans="1:6" ht="14.4" customHeight="1">
      <c r="A138" s="165"/>
      <c r="B138" s="11"/>
      <c r="C138" s="4" t="s">
        <v>3</v>
      </c>
      <c r="D138" s="5" t="s">
        <v>179</v>
      </c>
      <c r="E138" s="326"/>
      <c r="F138" s="41">
        <v>2</v>
      </c>
    </row>
    <row r="139" spans="1:6" ht="14.4" customHeight="1">
      <c r="A139" s="170"/>
      <c r="B139" s="12"/>
      <c r="C139" s="15" t="s">
        <v>4</v>
      </c>
      <c r="D139" s="15" t="s">
        <v>181</v>
      </c>
      <c r="E139" s="327"/>
      <c r="F139" s="42">
        <v>4</v>
      </c>
    </row>
    <row r="140" spans="1:6" ht="12" customHeight="1">
      <c r="A140" s="165" t="s">
        <v>48</v>
      </c>
      <c r="B140" s="13" t="s">
        <v>154</v>
      </c>
      <c r="C140" s="16" t="s">
        <v>0</v>
      </c>
      <c r="D140" s="17" t="s">
        <v>170</v>
      </c>
      <c r="E140" s="333" t="s">
        <v>71</v>
      </c>
      <c r="F140" s="324">
        <v>4</v>
      </c>
    </row>
    <row r="141" spans="1:6">
      <c r="A141" s="165"/>
      <c r="B141" s="11"/>
      <c r="C141" s="6" t="s">
        <v>1</v>
      </c>
      <c r="D141" s="4" t="s">
        <v>171</v>
      </c>
      <c r="E141" s="323"/>
      <c r="F141" s="41">
        <v>4</v>
      </c>
    </row>
    <row r="142" spans="1:6">
      <c r="A142" s="165"/>
      <c r="B142" s="11"/>
      <c r="C142" s="4" t="s">
        <v>3</v>
      </c>
      <c r="D142" s="5" t="s">
        <v>172</v>
      </c>
      <c r="E142" s="323"/>
      <c r="F142" s="42">
        <v>8</v>
      </c>
    </row>
    <row r="143" spans="1:6">
      <c r="A143" s="165"/>
      <c r="B143" s="11"/>
      <c r="C143" s="4" t="s">
        <v>4</v>
      </c>
      <c r="D143" s="4" t="s">
        <v>173</v>
      </c>
      <c r="E143" s="323"/>
      <c r="F143" s="43">
        <v>4</v>
      </c>
    </row>
    <row r="144" spans="1:6">
      <c r="A144" s="165"/>
      <c r="B144" s="13" t="s">
        <v>177</v>
      </c>
      <c r="C144" s="16" t="s">
        <v>0</v>
      </c>
      <c r="D144" s="17" t="s">
        <v>174</v>
      </c>
      <c r="E144" s="323"/>
      <c r="F144" s="41">
        <v>8</v>
      </c>
    </row>
    <row r="145" spans="1:6">
      <c r="A145" s="165"/>
      <c r="B145" s="11"/>
      <c r="C145" s="6" t="s">
        <v>1</v>
      </c>
      <c r="D145" s="18" t="s">
        <v>176</v>
      </c>
      <c r="E145" s="323"/>
      <c r="F145" s="41">
        <v>8</v>
      </c>
    </row>
    <row r="146" spans="1:6">
      <c r="A146" s="165"/>
      <c r="B146" s="11"/>
      <c r="C146" s="4" t="s">
        <v>3</v>
      </c>
      <c r="D146" s="5" t="s">
        <v>179</v>
      </c>
      <c r="E146" s="323"/>
      <c r="F146" s="41">
        <v>8</v>
      </c>
    </row>
    <row r="147" spans="1:6">
      <c r="A147" s="165"/>
      <c r="B147" s="12"/>
      <c r="C147" s="15" t="s">
        <v>4</v>
      </c>
      <c r="D147" s="15" t="s">
        <v>181</v>
      </c>
      <c r="E147" s="323"/>
      <c r="F147" s="41">
        <v>8</v>
      </c>
    </row>
    <row r="148" spans="1:6">
      <c r="A148" s="165"/>
      <c r="B148" s="13" t="s">
        <v>207</v>
      </c>
      <c r="C148" s="16" t="s">
        <v>0</v>
      </c>
      <c r="D148" s="17" t="s">
        <v>184</v>
      </c>
      <c r="E148" s="323"/>
      <c r="F148" s="43">
        <v>8</v>
      </c>
    </row>
    <row r="149" spans="1:6">
      <c r="A149" s="165"/>
      <c r="B149" s="11"/>
      <c r="C149" s="4" t="s">
        <v>3</v>
      </c>
      <c r="D149" s="5" t="s">
        <v>185</v>
      </c>
      <c r="E149" s="323"/>
      <c r="F149" s="41">
        <v>4</v>
      </c>
    </row>
    <row r="150" spans="1:6">
      <c r="A150" s="165"/>
      <c r="B150" s="11"/>
      <c r="C150" s="4" t="s">
        <v>4</v>
      </c>
      <c r="D150" s="5" t="s">
        <v>183</v>
      </c>
      <c r="E150" s="323"/>
      <c r="F150" s="41">
        <v>32</v>
      </c>
    </row>
    <row r="151" spans="1:6">
      <c r="A151" s="165"/>
      <c r="B151" s="13" t="s">
        <v>182</v>
      </c>
      <c r="C151" s="16" t="s">
        <v>0</v>
      </c>
      <c r="D151" s="17" t="s">
        <v>186</v>
      </c>
      <c r="E151" s="323"/>
      <c r="F151" s="43">
        <v>4</v>
      </c>
    </row>
    <row r="152" spans="1:6">
      <c r="A152" s="165"/>
      <c r="B152" s="11"/>
      <c r="C152" s="6" t="s">
        <v>1</v>
      </c>
      <c r="D152" s="4" t="s">
        <v>26</v>
      </c>
      <c r="E152" s="323"/>
      <c r="F152" s="41">
        <v>4</v>
      </c>
    </row>
    <row r="153" spans="1:6">
      <c r="A153" s="165"/>
      <c r="B153" s="11"/>
      <c r="C153" s="4" t="s">
        <v>3</v>
      </c>
      <c r="D153" s="5" t="s">
        <v>187</v>
      </c>
      <c r="E153" s="323"/>
      <c r="F153" s="41">
        <v>1</v>
      </c>
    </row>
    <row r="154" spans="1:6">
      <c r="A154" s="165"/>
      <c r="B154" s="11"/>
      <c r="C154" s="4" t="s">
        <v>4</v>
      </c>
      <c r="D154" s="5" t="s">
        <v>189</v>
      </c>
      <c r="E154" s="323"/>
      <c r="F154" s="41">
        <v>2</v>
      </c>
    </row>
    <row r="155" spans="1:6">
      <c r="A155" s="165"/>
      <c r="B155" s="11"/>
      <c r="C155" s="4" t="s">
        <v>22</v>
      </c>
      <c r="D155" s="5" t="s">
        <v>28</v>
      </c>
      <c r="E155" s="323"/>
      <c r="F155" s="41">
        <v>12</v>
      </c>
    </row>
    <row r="156" spans="1:6">
      <c r="A156" s="332"/>
      <c r="B156" s="13" t="s">
        <v>188</v>
      </c>
      <c r="C156" s="16" t="s">
        <v>0</v>
      </c>
      <c r="D156" s="17" t="s">
        <v>190</v>
      </c>
      <c r="E156" s="323"/>
      <c r="F156" s="43">
        <v>8</v>
      </c>
    </row>
    <row r="157" spans="1:6">
      <c r="A157" s="332"/>
      <c r="B157" s="11"/>
      <c r="C157" s="6" t="s">
        <v>1</v>
      </c>
      <c r="D157" s="4" t="s">
        <v>191</v>
      </c>
      <c r="E157" s="323"/>
      <c r="F157" s="41">
        <v>12</v>
      </c>
    </row>
    <row r="158" spans="1:6">
      <c r="A158" s="332"/>
      <c r="B158" s="11"/>
      <c r="C158" s="4" t="s">
        <v>3</v>
      </c>
      <c r="D158" s="5" t="s">
        <v>178</v>
      </c>
      <c r="E158" s="323"/>
      <c r="F158" s="41">
        <v>3</v>
      </c>
    </row>
    <row r="159" spans="1:6">
      <c r="A159" s="332"/>
      <c r="B159" s="12"/>
      <c r="C159" s="15" t="s">
        <v>4</v>
      </c>
      <c r="D159" s="19" t="s">
        <v>180</v>
      </c>
      <c r="E159" s="323"/>
      <c r="F159" s="42">
        <v>8</v>
      </c>
    </row>
    <row r="160" spans="1:6">
      <c r="A160" s="332"/>
      <c r="B160" s="13" t="s">
        <v>192</v>
      </c>
      <c r="C160" s="16" t="s">
        <v>0</v>
      </c>
      <c r="D160" s="17" t="s">
        <v>193</v>
      </c>
      <c r="E160" s="323"/>
      <c r="F160" s="43">
        <v>4</v>
      </c>
    </row>
    <row r="161" spans="1:6">
      <c r="A161" s="332"/>
      <c r="B161" s="11"/>
      <c r="C161" s="6" t="s">
        <v>1</v>
      </c>
      <c r="D161" s="4" t="s">
        <v>194</v>
      </c>
      <c r="E161" s="323"/>
      <c r="F161" s="41">
        <v>4</v>
      </c>
    </row>
    <row r="162" spans="1:6">
      <c r="A162" s="332"/>
      <c r="B162" s="11"/>
      <c r="C162" s="4" t="s">
        <v>3</v>
      </c>
      <c r="D162" s="5" t="s">
        <v>178</v>
      </c>
      <c r="E162" s="323"/>
      <c r="F162" s="41">
        <v>1</v>
      </c>
    </row>
    <row r="163" spans="1:6">
      <c r="A163" s="332"/>
      <c r="B163" s="12"/>
      <c r="C163" s="15" t="s">
        <v>4</v>
      </c>
      <c r="D163" s="19" t="s">
        <v>199</v>
      </c>
      <c r="E163" s="334"/>
      <c r="F163" s="42">
        <v>2</v>
      </c>
    </row>
    <row r="164" spans="1:6">
      <c r="A164" s="328" t="s">
        <v>56</v>
      </c>
      <c r="B164" s="2" t="s">
        <v>62</v>
      </c>
      <c r="C164" s="2"/>
      <c r="D164" s="2" t="s">
        <v>8</v>
      </c>
      <c r="E164" s="317" t="s">
        <v>202</v>
      </c>
      <c r="F164" s="43">
        <v>2</v>
      </c>
    </row>
    <row r="165" spans="1:6">
      <c r="A165" s="329"/>
      <c r="B165" s="3"/>
      <c r="C165" s="3"/>
      <c r="D165" s="3" t="s">
        <v>9</v>
      </c>
      <c r="E165" s="285"/>
      <c r="F165" s="41">
        <v>4</v>
      </c>
    </row>
    <row r="166" spans="1:6">
      <c r="A166" s="329"/>
      <c r="B166" s="3"/>
      <c r="C166" s="3"/>
      <c r="D166" s="3" t="s">
        <v>195</v>
      </c>
      <c r="E166" s="285"/>
      <c r="F166" s="41">
        <v>4</v>
      </c>
    </row>
    <row r="167" spans="1:6">
      <c r="A167" s="329"/>
      <c r="B167" s="3"/>
      <c r="C167" s="3"/>
      <c r="D167" s="3" t="s">
        <v>196</v>
      </c>
      <c r="E167" s="285"/>
      <c r="F167" s="41">
        <v>4</v>
      </c>
    </row>
    <row r="168" spans="1:6">
      <c r="A168" s="329"/>
      <c r="B168" s="3"/>
      <c r="C168" s="3"/>
      <c r="D168" s="3" t="s">
        <v>176</v>
      </c>
      <c r="E168" s="285"/>
      <c r="F168" s="41">
        <v>2</v>
      </c>
    </row>
    <row r="169" spans="1:6">
      <c r="A169" s="329"/>
      <c r="B169" s="3"/>
      <c r="C169" s="3"/>
      <c r="D169" s="3" t="s">
        <v>197</v>
      </c>
      <c r="E169" s="285"/>
      <c r="F169" s="41">
        <v>8</v>
      </c>
    </row>
    <row r="170" spans="1:6">
      <c r="A170" s="329"/>
      <c r="B170" s="3"/>
      <c r="C170" s="3"/>
      <c r="D170" s="3" t="s">
        <v>198</v>
      </c>
      <c r="E170" s="285"/>
      <c r="F170" s="41">
        <v>2</v>
      </c>
    </row>
    <row r="171" spans="1:6">
      <c r="A171" s="329"/>
      <c r="B171" s="8"/>
      <c r="C171" s="8"/>
      <c r="D171" s="8" t="s">
        <v>180</v>
      </c>
      <c r="E171" s="318"/>
      <c r="F171" s="42">
        <v>3</v>
      </c>
    </row>
    <row r="172" spans="1:6">
      <c r="A172" s="329"/>
      <c r="B172" s="2" t="s">
        <v>201</v>
      </c>
      <c r="C172" s="2"/>
      <c r="D172" s="2" t="s">
        <v>8</v>
      </c>
      <c r="E172" s="317" t="s">
        <v>203</v>
      </c>
      <c r="F172" s="43">
        <v>4</v>
      </c>
    </row>
    <row r="173" spans="1:6">
      <c r="A173" s="329"/>
      <c r="B173" s="3"/>
      <c r="C173" s="3"/>
      <c r="D173" s="3" t="s">
        <v>9</v>
      </c>
      <c r="E173" s="285"/>
      <c r="F173" s="41">
        <v>4</v>
      </c>
    </row>
    <row r="174" spans="1:6">
      <c r="A174" s="165"/>
      <c r="B174" s="3"/>
      <c r="C174" s="3"/>
      <c r="D174" s="3" t="s">
        <v>195</v>
      </c>
      <c r="E174" s="285"/>
      <c r="F174" s="41">
        <v>8</v>
      </c>
    </row>
    <row r="175" spans="1:6">
      <c r="A175" s="165"/>
      <c r="B175" s="3"/>
      <c r="C175" s="3"/>
      <c r="D175" s="3" t="s">
        <v>196</v>
      </c>
      <c r="E175" s="285"/>
      <c r="F175" s="41">
        <v>8</v>
      </c>
    </row>
    <row r="176" spans="1:6">
      <c r="A176" s="165"/>
      <c r="B176" s="3"/>
      <c r="C176" s="3"/>
      <c r="D176" s="3" t="s">
        <v>176</v>
      </c>
      <c r="E176" s="285"/>
      <c r="F176" s="41">
        <v>4</v>
      </c>
    </row>
    <row r="177" spans="1:6">
      <c r="A177" s="165"/>
      <c r="B177" s="3"/>
      <c r="C177" s="3"/>
      <c r="D177" s="3" t="s">
        <v>197</v>
      </c>
      <c r="E177" s="285"/>
      <c r="F177" s="41">
        <v>8</v>
      </c>
    </row>
    <row r="178" spans="1:6">
      <c r="A178" s="165"/>
      <c r="B178" s="3"/>
      <c r="C178" s="3"/>
      <c r="D178" s="3" t="s">
        <v>198</v>
      </c>
      <c r="E178" s="285"/>
      <c r="F178" s="41">
        <v>4</v>
      </c>
    </row>
    <row r="179" spans="1:6">
      <c r="A179" s="170"/>
      <c r="B179" s="8"/>
      <c r="C179" s="8"/>
      <c r="D179" s="8" t="s">
        <v>180</v>
      </c>
      <c r="E179" s="318"/>
      <c r="F179" s="42">
        <v>4</v>
      </c>
    </row>
    <row r="181" spans="1:6">
      <c r="F181" s="20">
        <f>SUM(F127:F180)</f>
        <v>301</v>
      </c>
    </row>
  </sheetData>
  <autoFilter ref="A2:F122" xr:uid="{00000000-0009-0000-0000-000001000000}"/>
  <mergeCells count="11">
    <mergeCell ref="E127:E139"/>
    <mergeCell ref="E140:E163"/>
    <mergeCell ref="E164:E171"/>
    <mergeCell ref="E172:E179"/>
    <mergeCell ref="E99:E122"/>
    <mergeCell ref="E43:E58"/>
    <mergeCell ref="E59:E82"/>
    <mergeCell ref="E83:E98"/>
    <mergeCell ref="E3:E37"/>
    <mergeCell ref="E38:E39"/>
    <mergeCell ref="E41:E42"/>
  </mergeCells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16"/>
  <sheetViews>
    <sheetView workbookViewId="0">
      <selection activeCell="C30" sqref="C30"/>
    </sheetView>
  </sheetViews>
  <sheetFormatPr defaultRowHeight="13.2"/>
  <cols>
    <col min="2" max="2" width="9.88671875" bestFit="1" customWidth="1"/>
    <col min="3" max="3" width="20.6640625" bestFit="1" customWidth="1"/>
    <col min="4" max="4" width="7.88671875" style="22" bestFit="1" customWidth="1"/>
    <col min="5" max="5" width="11.88671875" customWidth="1"/>
  </cols>
  <sheetData>
    <row r="1" spans="2:5" ht="13.8" thickBot="1"/>
    <row r="2" spans="2:5">
      <c r="B2" s="58" t="s">
        <v>121</v>
      </c>
      <c r="C2" s="59" t="s">
        <v>107</v>
      </c>
      <c r="D2" s="59" t="s">
        <v>111</v>
      </c>
      <c r="E2" s="60" t="s">
        <v>120</v>
      </c>
    </row>
    <row r="3" spans="2:5">
      <c r="B3" s="54" t="s">
        <v>48</v>
      </c>
      <c r="C3" s="23" t="s">
        <v>108</v>
      </c>
      <c r="D3" s="25" t="s">
        <v>115</v>
      </c>
      <c r="E3" s="61">
        <v>4</v>
      </c>
    </row>
    <row r="4" spans="2:5">
      <c r="B4" s="55"/>
      <c r="C4" s="24" t="s">
        <v>109</v>
      </c>
      <c r="D4" s="26" t="s">
        <v>115</v>
      </c>
      <c r="E4" s="62">
        <v>1</v>
      </c>
    </row>
    <row r="5" spans="2:5">
      <c r="B5" s="55"/>
      <c r="C5" s="24" t="s">
        <v>116</v>
      </c>
      <c r="D5" s="26"/>
      <c r="E5" s="62"/>
    </row>
    <row r="6" spans="2:5">
      <c r="B6" s="55"/>
      <c r="C6" s="24" t="s">
        <v>110</v>
      </c>
      <c r="D6" s="26"/>
      <c r="E6" s="62">
        <v>2</v>
      </c>
    </row>
    <row r="7" spans="2:5">
      <c r="B7" s="55"/>
      <c r="C7" s="24" t="s">
        <v>60</v>
      </c>
      <c r="D7" s="26"/>
      <c r="E7" s="62">
        <v>2</v>
      </c>
    </row>
    <row r="8" spans="2:5" ht="13.8" thickBot="1">
      <c r="B8" s="56"/>
      <c r="C8" s="57" t="s">
        <v>42</v>
      </c>
      <c r="D8" s="53" t="s">
        <v>117</v>
      </c>
      <c r="E8" s="63">
        <v>10</v>
      </c>
    </row>
    <row r="9" spans="2:5">
      <c r="B9" s="64" t="s">
        <v>56</v>
      </c>
      <c r="C9" s="65" t="s">
        <v>112</v>
      </c>
      <c r="D9" s="67" t="s">
        <v>117</v>
      </c>
      <c r="E9" s="66" t="s">
        <v>123</v>
      </c>
    </row>
    <row r="10" spans="2:5">
      <c r="B10" s="55"/>
      <c r="C10" s="24" t="s">
        <v>113</v>
      </c>
      <c r="D10" s="26" t="s">
        <v>118</v>
      </c>
      <c r="E10" s="62" t="s">
        <v>122</v>
      </c>
    </row>
    <row r="11" spans="2:5" ht="13.8" thickBot="1">
      <c r="B11" s="56"/>
      <c r="C11" s="57" t="s">
        <v>114</v>
      </c>
      <c r="D11" s="53" t="s">
        <v>119</v>
      </c>
      <c r="E11" s="63" t="s">
        <v>135</v>
      </c>
    </row>
    <row r="12" spans="2:5">
      <c r="B12" s="64" t="s">
        <v>57</v>
      </c>
      <c r="C12" s="65" t="s">
        <v>112</v>
      </c>
      <c r="D12" s="67" t="s">
        <v>117</v>
      </c>
      <c r="E12" s="66" t="s">
        <v>125</v>
      </c>
    </row>
    <row r="13" spans="2:5">
      <c r="B13" s="55"/>
      <c r="C13" s="24" t="s">
        <v>113</v>
      </c>
      <c r="D13" s="26" t="s">
        <v>118</v>
      </c>
      <c r="E13" s="62" t="s">
        <v>124</v>
      </c>
    </row>
    <row r="14" spans="2:5" ht="13.8" thickBot="1">
      <c r="B14" s="56"/>
      <c r="C14" s="57" t="s">
        <v>114</v>
      </c>
      <c r="D14" s="53" t="s">
        <v>119</v>
      </c>
      <c r="E14" s="63" t="s">
        <v>134</v>
      </c>
    </row>
    <row r="16" spans="2:5">
      <c r="B16" t="s">
        <v>147</v>
      </c>
    </row>
  </sheetData>
  <phoneticPr fontId="4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3:F15"/>
  <sheetViews>
    <sheetView workbookViewId="0">
      <selection activeCell="E28" sqref="E28"/>
    </sheetView>
  </sheetViews>
  <sheetFormatPr defaultRowHeight="13.2"/>
  <sheetData>
    <row r="3" spans="2:6">
      <c r="B3" t="s">
        <v>126</v>
      </c>
    </row>
    <row r="5" spans="2:6">
      <c r="B5" s="22" t="s">
        <v>129</v>
      </c>
      <c r="C5" t="s">
        <v>128</v>
      </c>
    </row>
    <row r="6" spans="2:6">
      <c r="C6" t="s">
        <v>127</v>
      </c>
    </row>
    <row r="8" spans="2:6">
      <c r="B8" s="22" t="s">
        <v>130</v>
      </c>
      <c r="C8" t="s">
        <v>131</v>
      </c>
    </row>
    <row r="10" spans="2:6">
      <c r="B10" s="22" t="s">
        <v>132</v>
      </c>
      <c r="C10" t="s">
        <v>138</v>
      </c>
    </row>
    <row r="13" spans="2:6">
      <c r="B13" t="s">
        <v>133</v>
      </c>
    </row>
    <row r="15" spans="2:6">
      <c r="B15" t="s">
        <v>136</v>
      </c>
      <c r="C15" t="s">
        <v>137</v>
      </c>
      <c r="F15" t="s">
        <v>139</v>
      </c>
    </row>
  </sheetData>
  <phoneticPr fontId="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スケジュール</vt:lpstr>
      <vt:lpstr>見積工数</vt:lpstr>
      <vt:lpstr>詳細見積</vt:lpstr>
      <vt:lpstr>品質評価</vt:lpstr>
      <vt:lpstr>制約事項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hao_isss</dc:creator>
  <cp:lastModifiedBy>6546</cp:lastModifiedBy>
  <dcterms:created xsi:type="dcterms:W3CDTF">2020-09-20T07:57:10Z</dcterms:created>
  <dcterms:modified xsi:type="dcterms:W3CDTF">2020-11-13T01:37:54Z</dcterms:modified>
</cp:coreProperties>
</file>