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HaoWork\15_提案書\20200925\"/>
    </mc:Choice>
  </mc:AlternateContent>
  <xr:revisionPtr revIDLastSave="0" documentId="13_ncr:1_{95A6507B-2A6E-4760-94DE-2F5B1D09C9F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スケジュール" sheetId="5" r:id="rId1"/>
    <sheet name="見積工数" sheetId="2" r:id="rId2"/>
    <sheet name="詳細見積" sheetId="1" r:id="rId3"/>
    <sheet name="品質評価" sheetId="3" r:id="rId4"/>
    <sheet name="制約事項" sheetId="4" r:id="rId5"/>
  </sheets>
  <definedNames>
    <definedName name="_xlnm._FilterDatabase" localSheetId="2" hidden="1">詳細見積!$A$2:$F$122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3" i="2" l="1"/>
  <c r="E23" i="2"/>
  <c r="E17" i="2"/>
  <c r="E12" i="2"/>
  <c r="E3" i="2"/>
</calcChain>
</file>

<file path=xl/sharedStrings.xml><?xml version="1.0" encoding="utf-8"?>
<sst xmlns="http://schemas.openxmlformats.org/spreadsheetml/2006/main" count="310" uniqueCount="148">
  <si>
    <t>①．</t>
    <phoneticPr fontId="4"/>
  </si>
  <si>
    <t>②．</t>
    <phoneticPr fontId="4"/>
  </si>
  <si>
    <t>起動中画面。（認証、データ取得処理）</t>
    <rPh sb="0" eb="2">
      <t>キドウ</t>
    </rPh>
    <rPh sb="2" eb="3">
      <t>チュウ</t>
    </rPh>
    <rPh sb="3" eb="5">
      <t>ガメン</t>
    </rPh>
    <rPh sb="7" eb="9">
      <t>ニンショウ</t>
    </rPh>
    <rPh sb="13" eb="15">
      <t>シュトク</t>
    </rPh>
    <rPh sb="15" eb="17">
      <t>ショリ</t>
    </rPh>
    <phoneticPr fontId="4"/>
  </si>
  <si>
    <t>③．</t>
    <phoneticPr fontId="4"/>
  </si>
  <si>
    <t>④．</t>
    <phoneticPr fontId="4"/>
  </si>
  <si>
    <t>⑤．</t>
    <phoneticPr fontId="4"/>
  </si>
  <si>
    <t>⑥．</t>
    <phoneticPr fontId="4"/>
  </si>
  <si>
    <t>マニュアルをリンク</t>
    <phoneticPr fontId="4"/>
  </si>
  <si>
    <t>画面構造</t>
  </si>
  <si>
    <t>フォルダ選択画面</t>
  </si>
  <si>
    <t>患者検索画面</t>
  </si>
  <si>
    <t>②．</t>
    <phoneticPr fontId="4"/>
  </si>
  <si>
    <t>動画サムネイル画面</t>
  </si>
  <si>
    <t>①．</t>
    <phoneticPr fontId="4"/>
  </si>
  <si>
    <t>③．</t>
    <phoneticPr fontId="4"/>
  </si>
  <si>
    <t>選択された動画ファイルから三枚表示する。</t>
    <rPh sb="0" eb="2">
      <t>センタク</t>
    </rPh>
    <rPh sb="5" eb="7">
      <t>ドウガ</t>
    </rPh>
    <rPh sb="13" eb="15">
      <t>サンマイ</t>
    </rPh>
    <rPh sb="15" eb="17">
      <t>ヒョウジ</t>
    </rPh>
    <phoneticPr fontId="4"/>
  </si>
  <si>
    <t>動画再生画面</t>
  </si>
  <si>
    <t>再生中の動画ファイル名、格納フォルダ、最新撮影日時を表示する</t>
    <rPh sb="0" eb="2">
      <t>サイセイ</t>
    </rPh>
    <rPh sb="2" eb="3">
      <t>チュウ</t>
    </rPh>
    <rPh sb="4" eb="6">
      <t>ドウガ</t>
    </rPh>
    <rPh sb="10" eb="11">
      <t>メイ</t>
    </rPh>
    <rPh sb="12" eb="14">
      <t>カクノウ</t>
    </rPh>
    <rPh sb="19" eb="21">
      <t>サイシン</t>
    </rPh>
    <rPh sb="21" eb="23">
      <t>サツエイ</t>
    </rPh>
    <rPh sb="23" eb="25">
      <t>ニチジ</t>
    </rPh>
    <rPh sb="26" eb="28">
      <t>ヒョウジ</t>
    </rPh>
    <phoneticPr fontId="4"/>
  </si>
  <si>
    <t>④．</t>
    <phoneticPr fontId="4"/>
  </si>
  <si>
    <t>再生中の動画ファイルの開始時間は調整可能です。</t>
    <rPh sb="11" eb="13">
      <t>カイシ</t>
    </rPh>
    <rPh sb="13" eb="15">
      <t>ジカン</t>
    </rPh>
    <rPh sb="16" eb="18">
      <t>チョウセイ</t>
    </rPh>
    <rPh sb="18" eb="20">
      <t>カノウ</t>
    </rPh>
    <phoneticPr fontId="4"/>
  </si>
  <si>
    <t>⑥．</t>
    <phoneticPr fontId="4"/>
  </si>
  <si>
    <t>再生中の動画ファイルの音量は調整可能です。</t>
    <rPh sb="11" eb="13">
      <t>オンリョウ</t>
    </rPh>
    <rPh sb="14" eb="16">
      <t>チョウセイ</t>
    </rPh>
    <rPh sb="16" eb="18">
      <t>カノウ</t>
    </rPh>
    <phoneticPr fontId="4"/>
  </si>
  <si>
    <t>⑦．</t>
    <phoneticPr fontId="4"/>
  </si>
  <si>
    <t>再生中の動画ファイルの動画の撮影日時を表示する。</t>
  </si>
  <si>
    <t>動画送信</t>
  </si>
  <si>
    <t>選択された動画ファイル。</t>
    <rPh sb="0" eb="2">
      <t>センタク</t>
    </rPh>
    <rPh sb="5" eb="7">
      <t>ドウガ</t>
    </rPh>
    <phoneticPr fontId="4"/>
  </si>
  <si>
    <t>選択された患者情報。</t>
    <rPh sb="0" eb="2">
      <t>センタク</t>
    </rPh>
    <rPh sb="5" eb="7">
      <t>カンジャ</t>
    </rPh>
    <rPh sb="7" eb="9">
      <t>ジョウホウ</t>
    </rPh>
    <phoneticPr fontId="4"/>
  </si>
  <si>
    <t>動画の撮影日、修正可能。</t>
    <rPh sb="0" eb="2">
      <t>ドウガ</t>
    </rPh>
    <rPh sb="3" eb="5">
      <t>サツエイ</t>
    </rPh>
    <rPh sb="5" eb="6">
      <t>ビ</t>
    </rPh>
    <rPh sb="7" eb="9">
      <t>シュウセイ</t>
    </rPh>
    <rPh sb="9" eb="11">
      <t>カノウ</t>
    </rPh>
    <phoneticPr fontId="4"/>
  </si>
  <si>
    <t>送信中の処理状況を表示する。</t>
    <rPh sb="0" eb="2">
      <t>ソウシン</t>
    </rPh>
    <rPh sb="2" eb="3">
      <t>チュウ</t>
    </rPh>
    <rPh sb="4" eb="6">
      <t>ショリ</t>
    </rPh>
    <rPh sb="6" eb="8">
      <t>ジョウキョウ</t>
    </rPh>
    <rPh sb="9" eb="11">
      <t>ヒョウジ</t>
    </rPh>
    <phoneticPr fontId="4"/>
  </si>
  <si>
    <t>インストール</t>
  </si>
  <si>
    <t>動画管理システムダウンロード用ページの内容</t>
    <rPh sb="14" eb="15">
      <t>ヨウ</t>
    </rPh>
    <rPh sb="19" eb="21">
      <t>ナイヨウ</t>
    </rPh>
    <phoneticPr fontId="4"/>
  </si>
  <si>
    <t>JAVAフォレーム作成</t>
    <phoneticPr fontId="4"/>
  </si>
  <si>
    <t>C#のWEBサービス環境構築</t>
    <phoneticPr fontId="4"/>
  </si>
  <si>
    <t>WEBサービスのWSDL作成</t>
    <phoneticPr fontId="4"/>
  </si>
  <si>
    <t>⑤．</t>
    <phoneticPr fontId="4"/>
  </si>
  <si>
    <t>送信中の動画ファイルを中止させる。</t>
    <phoneticPr fontId="4"/>
  </si>
  <si>
    <t>送信済の動画ファイルを削除する。</t>
    <phoneticPr fontId="4"/>
  </si>
  <si>
    <t>⑧．</t>
    <phoneticPr fontId="4"/>
  </si>
  <si>
    <t>送信中の進捗状況を表示する。</t>
    <phoneticPr fontId="4"/>
  </si>
  <si>
    <t>②．</t>
    <phoneticPr fontId="4"/>
  </si>
  <si>
    <t>④．</t>
    <phoneticPr fontId="4"/>
  </si>
  <si>
    <t>⑤．</t>
    <phoneticPr fontId="4"/>
  </si>
  <si>
    <t>操作マニュアル</t>
    <rPh sb="0" eb="2">
      <t>ソウサ</t>
    </rPh>
    <phoneticPr fontId="4"/>
  </si>
  <si>
    <t>NO</t>
    <phoneticPr fontId="4"/>
  </si>
  <si>
    <t>作業内容</t>
    <rPh sb="0" eb="2">
      <t>サギョウ</t>
    </rPh>
    <rPh sb="2" eb="4">
      <t>ナイヨウ</t>
    </rPh>
    <phoneticPr fontId="4"/>
  </si>
  <si>
    <t>分類</t>
    <rPh sb="0" eb="2">
      <t>ブンルイ</t>
    </rPh>
    <phoneticPr fontId="4"/>
  </si>
  <si>
    <t>項目</t>
    <rPh sb="0" eb="2">
      <t>コウモク</t>
    </rPh>
    <phoneticPr fontId="4"/>
  </si>
  <si>
    <t>作業工数（H）</t>
    <rPh sb="0" eb="2">
      <t>サギョウ</t>
    </rPh>
    <rPh sb="2" eb="4">
      <t>コウスウ</t>
    </rPh>
    <phoneticPr fontId="4"/>
  </si>
  <si>
    <t>製造</t>
    <rPh sb="0" eb="2">
      <t>セイゾウ</t>
    </rPh>
    <phoneticPr fontId="4"/>
  </si>
  <si>
    <t>システム環境</t>
    <rPh sb="4" eb="6">
      <t>カンキョウ</t>
    </rPh>
    <phoneticPr fontId="4"/>
  </si>
  <si>
    <t>起動画面</t>
  </si>
  <si>
    <t>起動画面</t>
    <rPh sb="0" eb="2">
      <t>キドウ</t>
    </rPh>
    <rPh sb="2" eb="4">
      <t>ガメン</t>
    </rPh>
    <phoneticPr fontId="4"/>
  </si>
  <si>
    <t>プロキシー認証</t>
    <rPh sb="5" eb="7">
      <t>ニンショウ</t>
    </rPh>
    <phoneticPr fontId="4"/>
  </si>
  <si>
    <t>ログイン認証</t>
    <rPh sb="4" eb="6">
      <t>ニンショウ</t>
    </rPh>
    <phoneticPr fontId="4"/>
  </si>
  <si>
    <t>マックPC用インストールパケージ</t>
    <rPh sb="5" eb="6">
      <t>ヨウ</t>
    </rPh>
    <phoneticPr fontId="4"/>
  </si>
  <si>
    <t>WindowPC用インストールパケージ</t>
    <rPh sb="8" eb="9">
      <t>ヨウ</t>
    </rPh>
    <phoneticPr fontId="4"/>
  </si>
  <si>
    <t>単体テスト</t>
    <rPh sb="0" eb="2">
      <t>タンタイ</t>
    </rPh>
    <phoneticPr fontId="4"/>
  </si>
  <si>
    <t>結合テスト</t>
    <rPh sb="0" eb="2">
      <t>ケツゴウ</t>
    </rPh>
    <phoneticPr fontId="4"/>
  </si>
  <si>
    <t>動画一覧で動画ファイルを選択するの切り替わる。</t>
    <phoneticPr fontId="4"/>
  </si>
  <si>
    <t>成果物</t>
    <rPh sb="0" eb="2">
      <t>セイカ</t>
    </rPh>
    <rPh sb="2" eb="3">
      <t>ブツ</t>
    </rPh>
    <phoneticPr fontId="4"/>
  </si>
  <si>
    <t>インストールマニュアル</t>
    <phoneticPr fontId="4"/>
  </si>
  <si>
    <t>WEBページ</t>
    <phoneticPr fontId="4"/>
  </si>
  <si>
    <t>テスト仕様書作成</t>
    <rPh sb="3" eb="5">
      <t>シヨウ</t>
    </rPh>
    <rPh sb="5" eb="6">
      <t>ショ</t>
    </rPh>
    <rPh sb="6" eb="8">
      <t>サクセイ</t>
    </rPh>
    <phoneticPr fontId="4"/>
  </si>
  <si>
    <t>テスト仕様書レビュー</t>
    <phoneticPr fontId="4"/>
  </si>
  <si>
    <t>WinPC(64Bite)テスト</t>
    <phoneticPr fontId="4"/>
  </si>
  <si>
    <t>単体テスト仕様書</t>
    <phoneticPr fontId="4"/>
  </si>
  <si>
    <t>単体テスト結果</t>
    <rPh sb="5" eb="7">
      <t>ケッカ</t>
    </rPh>
    <phoneticPr fontId="4"/>
  </si>
  <si>
    <t>MacPC(64Bite)テスト</t>
    <phoneticPr fontId="4"/>
  </si>
  <si>
    <t>WinPC(32Bite)テスト</t>
    <phoneticPr fontId="4"/>
  </si>
  <si>
    <t>結合テスト仕様書</t>
    <rPh sb="0" eb="2">
      <t>ケツゴウ</t>
    </rPh>
    <phoneticPr fontId="4"/>
  </si>
  <si>
    <t>結合テスト結果</t>
    <rPh sb="0" eb="2">
      <t>ケツゴウ</t>
    </rPh>
    <phoneticPr fontId="4"/>
  </si>
  <si>
    <t>JAVA、C#ソース
JAVADOC</t>
    <phoneticPr fontId="4"/>
  </si>
  <si>
    <t>動画フォルダ選択画面</t>
    <phoneticPr fontId="4"/>
  </si>
  <si>
    <t>動画ファイル一覧に表示する</t>
    <rPh sb="0" eb="2">
      <t>ドウガ</t>
    </rPh>
    <rPh sb="6" eb="8">
      <t>イチラン</t>
    </rPh>
    <rPh sb="9" eb="11">
      <t>ヒョウジ</t>
    </rPh>
    <phoneticPr fontId="4"/>
  </si>
  <si>
    <t>「状況」、「ファイル名称」、「最新撮影日」昇順/降順でソートする</t>
    <rPh sb="1" eb="3">
      <t>ジョウキョウ</t>
    </rPh>
    <rPh sb="10" eb="12">
      <t>メイショウ</t>
    </rPh>
    <rPh sb="15" eb="17">
      <t>サイシン</t>
    </rPh>
    <rPh sb="17" eb="19">
      <t>サツエイ</t>
    </rPh>
    <rPh sb="19" eb="20">
      <t>ビ</t>
    </rPh>
    <rPh sb="21" eb="23">
      <t>ショウジュン</t>
    </rPh>
    <rPh sb="24" eb="26">
      <t>コウジュン</t>
    </rPh>
    <phoneticPr fontId="4"/>
  </si>
  <si>
    <t>患者名入力、検索部品</t>
    <rPh sb="0" eb="2">
      <t>カンジャ</t>
    </rPh>
    <rPh sb="2" eb="3">
      <t>メイ</t>
    </rPh>
    <rPh sb="3" eb="5">
      <t>ニュウリョク</t>
    </rPh>
    <rPh sb="6" eb="8">
      <t>ケンサク</t>
    </rPh>
    <rPh sb="8" eb="10">
      <t>ブヒン</t>
    </rPh>
    <phoneticPr fontId="4"/>
  </si>
  <si>
    <t>WEBサービス経由して患者名を含むの患者リストを取得する。</t>
    <rPh sb="7" eb="9">
      <t>ケイユウ</t>
    </rPh>
    <rPh sb="11" eb="13">
      <t>カンジャ</t>
    </rPh>
    <rPh sb="13" eb="14">
      <t>メイ</t>
    </rPh>
    <rPh sb="15" eb="16">
      <t>フク</t>
    </rPh>
    <rPh sb="18" eb="20">
      <t>カンジャ</t>
    </rPh>
    <rPh sb="24" eb="26">
      <t>シュトク</t>
    </rPh>
    <phoneticPr fontId="4"/>
  </si>
  <si>
    <t>リストを画面に表示する。</t>
    <rPh sb="4" eb="6">
      <t>ガメン</t>
    </rPh>
    <rPh sb="7" eb="9">
      <t>ヒョウジ</t>
    </rPh>
    <phoneticPr fontId="4"/>
  </si>
  <si>
    <t>「患者名」、「生年月日」、「患者番号」昇順/降順でソートする</t>
    <rPh sb="1" eb="3">
      <t>カンジャ</t>
    </rPh>
    <rPh sb="3" eb="4">
      <t>メイ</t>
    </rPh>
    <rPh sb="7" eb="11">
      <t>セイネンガッピ</t>
    </rPh>
    <rPh sb="14" eb="16">
      <t>カンジャ</t>
    </rPh>
    <rPh sb="16" eb="18">
      <t>バンゴウ</t>
    </rPh>
    <rPh sb="19" eb="21">
      <t>ショウジュン</t>
    </rPh>
    <rPh sb="22" eb="24">
      <t>コウジュン</t>
    </rPh>
    <phoneticPr fontId="4"/>
  </si>
  <si>
    <t>インストール</t>
    <phoneticPr fontId="4"/>
  </si>
  <si>
    <t>WEBサービスの正常/異常稼働</t>
    <rPh sb="8" eb="10">
      <t>セイジョウ</t>
    </rPh>
    <rPh sb="11" eb="13">
      <t>イジョウ</t>
    </rPh>
    <rPh sb="13" eb="15">
      <t>カドウ</t>
    </rPh>
    <phoneticPr fontId="4"/>
  </si>
  <si>
    <t>クライアントの正常/異常稼働</t>
    <phoneticPr fontId="4"/>
  </si>
  <si>
    <t>動画再生画面</t>
    <phoneticPr fontId="4"/>
  </si>
  <si>
    <t>マニュアル</t>
    <phoneticPr fontId="4"/>
  </si>
  <si>
    <t>単体テスト仕様書</t>
    <phoneticPr fontId="4"/>
  </si>
  <si>
    <t>単体テスト結果</t>
    <phoneticPr fontId="4"/>
  </si>
  <si>
    <t>結合テスト仕様書</t>
    <phoneticPr fontId="4"/>
  </si>
  <si>
    <t>結合テスト結果</t>
    <phoneticPr fontId="4"/>
  </si>
  <si>
    <t>クライアント設定</t>
    <rPh sb="6" eb="8">
      <t>セッテイ</t>
    </rPh>
    <phoneticPr fontId="4"/>
  </si>
  <si>
    <t>動画ファイルの送信パフォーマンス</t>
    <rPh sb="7" eb="9">
      <t>ソウシン</t>
    </rPh>
    <phoneticPr fontId="4"/>
  </si>
  <si>
    <t>動画ファイルの選択、一覧表示</t>
    <rPh sb="7" eb="9">
      <t>センタク</t>
    </rPh>
    <rPh sb="10" eb="12">
      <t>イチラン</t>
    </rPh>
    <rPh sb="12" eb="14">
      <t>ヒョウジ</t>
    </rPh>
    <phoneticPr fontId="4"/>
  </si>
  <si>
    <t>患者名入力、検索、一覧表示</t>
    <rPh sb="0" eb="2">
      <t>カンジャ</t>
    </rPh>
    <rPh sb="2" eb="3">
      <t>メイ</t>
    </rPh>
    <rPh sb="3" eb="5">
      <t>ニュウリョク</t>
    </rPh>
    <rPh sb="6" eb="8">
      <t>ケンサク</t>
    </rPh>
    <rPh sb="9" eb="11">
      <t>イチラン</t>
    </rPh>
    <rPh sb="11" eb="13">
      <t>ヒョウジ</t>
    </rPh>
    <phoneticPr fontId="4"/>
  </si>
  <si>
    <t>動画ファイルサムネイル表示、再生</t>
    <rPh sb="0" eb="2">
      <t>ドウガ</t>
    </rPh>
    <rPh sb="11" eb="13">
      <t>ヒョウジ</t>
    </rPh>
    <rPh sb="14" eb="16">
      <t>サイセイ</t>
    </rPh>
    <phoneticPr fontId="4"/>
  </si>
  <si>
    <t>動画一覧で選択された動画ファイルを再生。</t>
    <rPh sb="0" eb="2">
      <t>ドウガ</t>
    </rPh>
    <rPh sb="2" eb="4">
      <t>イチラン</t>
    </rPh>
    <rPh sb="5" eb="7">
      <t>センタク</t>
    </rPh>
    <rPh sb="10" eb="12">
      <t>ドウガ</t>
    </rPh>
    <rPh sb="17" eb="19">
      <t>サイセイ</t>
    </rPh>
    <phoneticPr fontId="4"/>
  </si>
  <si>
    <t>動画送信」ボタンが活性化、その他場合、非活性。</t>
    <rPh sb="0" eb="2">
      <t>ドウガ</t>
    </rPh>
    <rPh sb="2" eb="4">
      <t>ソウシン</t>
    </rPh>
    <rPh sb="9" eb="12">
      <t>カッセイカ</t>
    </rPh>
    <rPh sb="15" eb="16">
      <t>タ</t>
    </rPh>
    <rPh sb="16" eb="18">
      <t>バアイ</t>
    </rPh>
    <rPh sb="19" eb="20">
      <t>ヒ</t>
    </rPh>
    <rPh sb="20" eb="22">
      <t>カッセイ</t>
    </rPh>
    <phoneticPr fontId="4"/>
  </si>
  <si>
    <t>シュートカード</t>
    <phoneticPr fontId="4"/>
  </si>
  <si>
    <t>動画管理のメイン画面初期化</t>
    <rPh sb="0" eb="2">
      <t>ドウガ</t>
    </rPh>
    <rPh sb="2" eb="4">
      <t>カンリ</t>
    </rPh>
    <rPh sb="8" eb="10">
      <t>ガメン</t>
    </rPh>
    <rPh sb="10" eb="13">
      <t>ショキカ</t>
    </rPh>
    <phoneticPr fontId="4"/>
  </si>
  <si>
    <t>左右画面領域を拡大のため、左右にドラッグ＆ドロップ</t>
    <rPh sb="0" eb="2">
      <t>サユウ</t>
    </rPh>
    <rPh sb="2" eb="4">
      <t>ガメン</t>
    </rPh>
    <rPh sb="4" eb="6">
      <t>リョウイキ</t>
    </rPh>
    <rPh sb="7" eb="9">
      <t>カクダイ</t>
    </rPh>
    <rPh sb="13" eb="15">
      <t>サユウ</t>
    </rPh>
    <phoneticPr fontId="4"/>
  </si>
  <si>
    <t>システム設定情報画面</t>
    <rPh sb="4" eb="6">
      <t>セッテイ</t>
    </rPh>
    <rPh sb="6" eb="8">
      <t>ジョウホウ</t>
    </rPh>
    <rPh sb="8" eb="10">
      <t>ガメン</t>
    </rPh>
    <phoneticPr fontId="4"/>
  </si>
  <si>
    <t>「フォルダ選択」ボタン</t>
    <rPh sb="5" eb="7">
      <t>センタク</t>
    </rPh>
    <phoneticPr fontId="4"/>
  </si>
  <si>
    <t>再生、一時停止、先頭に戻る</t>
    <phoneticPr fontId="4"/>
  </si>
  <si>
    <t>インストールパケージ</t>
    <phoneticPr fontId="4"/>
  </si>
  <si>
    <t xml:space="preserve">JAVA、C#ソース
JAVADOC、
マニュアル、
インストールパケージ
</t>
    <phoneticPr fontId="4"/>
  </si>
  <si>
    <t>小計（H)</t>
    <rPh sb="0" eb="2">
      <t>ショウケイ</t>
    </rPh>
    <phoneticPr fontId="4"/>
  </si>
  <si>
    <t>合計</t>
    <rPh sb="0" eb="2">
      <t>ゴウケイ</t>
    </rPh>
    <phoneticPr fontId="4"/>
  </si>
  <si>
    <t>単体</t>
    <rPh sb="0" eb="2">
      <t>タンタイ</t>
    </rPh>
    <phoneticPr fontId="4"/>
  </si>
  <si>
    <t>結合</t>
    <rPh sb="0" eb="2">
      <t>ケツゴウ</t>
    </rPh>
    <phoneticPr fontId="4"/>
  </si>
  <si>
    <t>成果物</t>
    <rPh sb="0" eb="3">
      <t>セイカブツ</t>
    </rPh>
    <phoneticPr fontId="4"/>
  </si>
  <si>
    <t>JAVAソース</t>
    <phoneticPr fontId="4"/>
  </si>
  <si>
    <t>C#ソース</t>
    <phoneticPr fontId="4"/>
  </si>
  <si>
    <t>インストールパケージ</t>
    <phoneticPr fontId="4"/>
  </si>
  <si>
    <t>単位</t>
    <rPh sb="0" eb="2">
      <t>タンイ</t>
    </rPh>
    <phoneticPr fontId="4"/>
  </si>
  <si>
    <t>テスト仕様書</t>
    <rPh sb="3" eb="5">
      <t>シヨウ</t>
    </rPh>
    <rPh sb="5" eb="6">
      <t>ショ</t>
    </rPh>
    <phoneticPr fontId="4"/>
  </si>
  <si>
    <t>テスト結果</t>
    <rPh sb="3" eb="5">
      <t>ケッカ</t>
    </rPh>
    <phoneticPr fontId="4"/>
  </si>
  <si>
    <t>バグFIX</t>
    <phoneticPr fontId="4"/>
  </si>
  <si>
    <t>K（Step)</t>
    <phoneticPr fontId="4"/>
  </si>
  <si>
    <t>JAVADOC（HTML)</t>
    <phoneticPr fontId="4"/>
  </si>
  <si>
    <t>ページ</t>
    <phoneticPr fontId="4"/>
  </si>
  <si>
    <t>ケース</t>
    <phoneticPr fontId="4"/>
  </si>
  <si>
    <t>個</t>
    <rPh sb="0" eb="1">
      <t>コ</t>
    </rPh>
    <phoneticPr fontId="4"/>
  </si>
  <si>
    <t>予想規模</t>
    <rPh sb="0" eb="2">
      <t>ヨソウ</t>
    </rPh>
    <rPh sb="2" eb="4">
      <t>キボ</t>
    </rPh>
    <phoneticPr fontId="4"/>
  </si>
  <si>
    <t>工程</t>
    <rPh sb="0" eb="2">
      <t>コウテイ</t>
    </rPh>
    <phoneticPr fontId="4"/>
  </si>
  <si>
    <t>400～500</t>
    <phoneticPr fontId="4"/>
  </si>
  <si>
    <t>20～30</t>
    <phoneticPr fontId="4"/>
  </si>
  <si>
    <t>100～200</t>
    <phoneticPr fontId="4"/>
  </si>
  <si>
    <t>10～15</t>
    <phoneticPr fontId="4"/>
  </si>
  <si>
    <t>１．開発工程</t>
    <rPh sb="2" eb="4">
      <t>カイハツ</t>
    </rPh>
    <rPh sb="4" eb="6">
      <t>コウテイ</t>
    </rPh>
    <phoneticPr fontId="4"/>
  </si>
  <si>
    <t>エンドユーザのWinPC(32Bite）早めに入手して検証/対策する。手遅れすると開発工数倍増える可能性ある。</t>
    <rPh sb="20" eb="21">
      <t>ハヤ</t>
    </rPh>
    <rPh sb="23" eb="25">
      <t>ニュウシュ</t>
    </rPh>
    <rPh sb="27" eb="29">
      <t>ケンショウ</t>
    </rPh>
    <rPh sb="30" eb="32">
      <t>タイサク</t>
    </rPh>
    <rPh sb="35" eb="37">
      <t>テオク</t>
    </rPh>
    <rPh sb="41" eb="43">
      <t>カイハツ</t>
    </rPh>
    <rPh sb="43" eb="45">
      <t>コウスウ</t>
    </rPh>
    <rPh sb="45" eb="46">
      <t>バイ</t>
    </rPh>
    <rPh sb="46" eb="47">
      <t>フ</t>
    </rPh>
    <rPh sb="49" eb="51">
      <t>カノウ</t>
    </rPh>
    <rPh sb="51" eb="52">
      <t>セイ</t>
    </rPh>
    <phoneticPr fontId="4"/>
  </si>
  <si>
    <t>WinPC/MacPC（64Bite）で開発ベースと見積ですが、WinPC(32Bite）も対応すると、二つバージョン開発の可能性もある</t>
    <rPh sb="20" eb="22">
      <t>カイハツ</t>
    </rPh>
    <rPh sb="26" eb="28">
      <t>ミツモリ</t>
    </rPh>
    <rPh sb="46" eb="48">
      <t>タイオウ</t>
    </rPh>
    <rPh sb="52" eb="53">
      <t>フタ</t>
    </rPh>
    <rPh sb="59" eb="61">
      <t>カイハツ</t>
    </rPh>
    <rPh sb="62" eb="64">
      <t>カノウ</t>
    </rPh>
    <rPh sb="64" eb="65">
      <t>セイ</t>
    </rPh>
    <phoneticPr fontId="4"/>
  </si>
  <si>
    <t>①</t>
    <phoneticPr fontId="4"/>
  </si>
  <si>
    <t>②</t>
    <phoneticPr fontId="4"/>
  </si>
  <si>
    <t>MacPCは10月中旬から入手する。</t>
    <rPh sb="8" eb="9">
      <t>ゲツ</t>
    </rPh>
    <rPh sb="9" eb="11">
      <t>チュウジュン</t>
    </rPh>
    <rPh sb="13" eb="15">
      <t>ニュウシュ</t>
    </rPh>
    <phoneticPr fontId="4"/>
  </si>
  <si>
    <t>③</t>
    <phoneticPr fontId="4"/>
  </si>
  <si>
    <t>２．テスト工程</t>
    <rPh sb="5" eb="7">
      <t>コウテイ</t>
    </rPh>
    <phoneticPr fontId="4"/>
  </si>
  <si>
    <t>20～40</t>
    <phoneticPr fontId="4"/>
  </si>
  <si>
    <t>50～75</t>
    <phoneticPr fontId="4"/>
  </si>
  <si>
    <t>　　　①</t>
    <phoneticPr fontId="4"/>
  </si>
  <si>
    <t>お互い待ち時間を減らすように。</t>
    <rPh sb="1" eb="2">
      <t>タガ</t>
    </rPh>
    <rPh sb="3" eb="4">
      <t>マ</t>
    </rPh>
    <rPh sb="5" eb="7">
      <t>ジカン</t>
    </rPh>
    <rPh sb="8" eb="9">
      <t>ヘ</t>
    </rPh>
    <phoneticPr fontId="4"/>
  </si>
  <si>
    <t>ソース連携の部分、お互い先に着手ように。</t>
    <rPh sb="3" eb="5">
      <t>レンケイ</t>
    </rPh>
    <rPh sb="6" eb="8">
      <t>ブブン</t>
    </rPh>
    <rPh sb="10" eb="11">
      <t>タガ</t>
    </rPh>
    <rPh sb="12" eb="13">
      <t>サキ</t>
    </rPh>
    <rPh sb="14" eb="16">
      <t>チャクシュ</t>
    </rPh>
    <phoneticPr fontId="4"/>
  </si>
  <si>
    <t>発生の場合、別途の仕事調整。</t>
    <rPh sb="0" eb="2">
      <t>ハッセイ</t>
    </rPh>
    <rPh sb="3" eb="5">
      <t>バアイ</t>
    </rPh>
    <rPh sb="6" eb="8">
      <t>ベット</t>
    </rPh>
    <rPh sb="9" eb="11">
      <t>シゴト</t>
    </rPh>
    <rPh sb="11" eb="13">
      <t>チョウセイ</t>
    </rPh>
    <phoneticPr fontId="4"/>
  </si>
  <si>
    <t>動画管理モジュールの開発スケジュール</t>
    <rPh sb="0" eb="2">
      <t>ドウガ</t>
    </rPh>
    <rPh sb="2" eb="4">
      <t>カンリ</t>
    </rPh>
    <rPh sb="10" eb="12">
      <t>カイハツ</t>
    </rPh>
    <phoneticPr fontId="4"/>
  </si>
  <si>
    <t>10月</t>
    <rPh sb="2" eb="3">
      <t>ゲツ</t>
    </rPh>
    <phoneticPr fontId="4"/>
  </si>
  <si>
    <t>11月</t>
    <rPh sb="2" eb="3">
      <t>ゲツ</t>
    </rPh>
    <phoneticPr fontId="4"/>
  </si>
  <si>
    <t>12月</t>
    <rPh sb="2" eb="3">
      <t>ゲツ</t>
    </rPh>
    <phoneticPr fontId="4"/>
  </si>
  <si>
    <t>MacPC(64Bite)対応</t>
    <rPh sb="13" eb="15">
      <t>タイオウ</t>
    </rPh>
    <phoneticPr fontId="4"/>
  </si>
  <si>
    <t>WinPC(32Bite)対応</t>
    <rPh sb="13" eb="15">
      <t>タイオウ</t>
    </rPh>
    <phoneticPr fontId="4"/>
  </si>
  <si>
    <t>検収</t>
    <rPh sb="0" eb="2">
      <t>ケンシュウ</t>
    </rPh>
    <phoneticPr fontId="4"/>
  </si>
  <si>
    <t>目安の数字</t>
    <rPh sb="0" eb="2">
      <t>メヤス</t>
    </rPh>
    <rPh sb="3" eb="5">
      <t>スウジ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</si>
</sst>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4"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0"/>
      <color theme="1"/>
      <name val="ＭＳ 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12"/>
      <color theme="0"/>
      <name val="ＭＳ Ｐゴシック"/>
      <family val="2"/>
      <charset val="128"/>
      <scheme val="minor"/>
    </font>
    <font>
      <sz val="12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5" fillId="0" borderId="0"/>
  </cellStyleXfs>
  <cellXfs count="221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3" fillId="0" borderId="2" xfId="1" applyFont="1" applyBorder="1" applyAlignment="1"/>
    <xf numFmtId="49" fontId="3" fillId="0" borderId="2" xfId="2" applyNumberFormat="1" applyFont="1" applyFill="1" applyBorder="1" applyAlignment="1">
      <alignment horizontal="left"/>
    </xf>
    <xf numFmtId="176" fontId="3" fillId="0" borderId="2" xfId="1" applyNumberFormat="1" applyFont="1" applyBorder="1" applyAlignment="1"/>
    <xf numFmtId="0" fontId="6" fillId="0" borderId="2" xfId="1" applyFont="1" applyBorder="1" applyAlignment="1"/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3" fillId="0" borderId="1" xfId="1" applyFont="1" applyBorder="1" applyAlignment="1"/>
    <xf numFmtId="0" fontId="3" fillId="0" borderId="3" xfId="1" applyFont="1" applyBorder="1" applyAlignment="1"/>
    <xf numFmtId="49" fontId="3" fillId="0" borderId="1" xfId="2" applyNumberFormat="1" applyFont="1" applyFill="1" applyBorder="1" applyAlignment="1">
      <alignment horizontal="left"/>
    </xf>
    <xf numFmtId="176" fontId="3" fillId="0" borderId="1" xfId="1" applyNumberFormat="1" applyFont="1" applyBorder="1" applyAlignment="1"/>
    <xf numFmtId="0" fontId="6" fillId="0" borderId="3" xfId="1" applyFont="1" applyBorder="1" applyAlignment="1"/>
    <xf numFmtId="49" fontId="3" fillId="0" borderId="3" xfId="2" applyNumberFormat="1" applyFont="1" applyFill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0" xfId="0" applyFont="1" applyBorder="1">
      <alignment vertical="center"/>
    </xf>
    <xf numFmtId="0" fontId="8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31" xfId="0" applyBorder="1">
      <alignment vertical="center"/>
    </xf>
    <xf numFmtId="0" fontId="0" fillId="0" borderId="22" xfId="0" applyBorder="1">
      <alignment vertical="center"/>
    </xf>
    <xf numFmtId="0" fontId="1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41" xfId="0" applyFont="1" applyBorder="1">
      <alignment vertical="center"/>
    </xf>
    <xf numFmtId="0" fontId="11" fillId="0" borderId="42" xfId="0" applyFont="1" applyBorder="1">
      <alignment vertical="center"/>
    </xf>
    <xf numFmtId="0" fontId="11" fillId="0" borderId="43" xfId="0" applyFont="1" applyBorder="1">
      <alignment vertical="center"/>
    </xf>
    <xf numFmtId="0" fontId="11" fillId="0" borderId="52" xfId="0" applyFont="1" applyBorder="1">
      <alignment vertical="center"/>
    </xf>
    <xf numFmtId="0" fontId="11" fillId="0" borderId="0" xfId="0" applyFont="1" applyFill="1">
      <alignment vertical="center"/>
    </xf>
    <xf numFmtId="0" fontId="0" fillId="0" borderId="0" xfId="0" applyFill="1">
      <alignment vertical="center"/>
    </xf>
    <xf numFmtId="0" fontId="13" fillId="0" borderId="54" xfId="0" applyFont="1" applyFill="1" applyBorder="1" applyAlignment="1">
      <alignment horizontal="center" vertical="center"/>
    </xf>
    <xf numFmtId="0" fontId="13" fillId="0" borderId="55" xfId="0" applyFont="1" applyFill="1" applyBorder="1" applyAlignment="1">
      <alignment horizontal="center" vertical="center"/>
    </xf>
    <xf numFmtId="0" fontId="11" fillId="0" borderId="0" xfId="0" applyFont="1" applyBorder="1">
      <alignment vertical="center"/>
    </xf>
    <xf numFmtId="0" fontId="11" fillId="0" borderId="42" xfId="0" applyFont="1" applyFill="1" applyBorder="1">
      <alignment vertical="center"/>
    </xf>
    <xf numFmtId="0" fontId="11" fillId="0" borderId="53" xfId="0" applyFont="1" applyBorder="1">
      <alignment vertical="center"/>
    </xf>
    <xf numFmtId="0" fontId="11" fillId="0" borderId="63" xfId="0" applyFont="1" applyBorder="1">
      <alignment vertical="center"/>
    </xf>
    <xf numFmtId="0" fontId="11" fillId="4" borderId="42" xfId="0" applyFont="1" applyFill="1" applyBorder="1">
      <alignment vertical="center"/>
    </xf>
    <xf numFmtId="0" fontId="11" fillId="5" borderId="42" xfId="0" applyFont="1" applyFill="1" applyBorder="1">
      <alignment vertical="center"/>
    </xf>
    <xf numFmtId="0" fontId="11" fillId="5" borderId="43" xfId="0" applyFont="1" applyFill="1" applyBorder="1">
      <alignment vertical="center"/>
    </xf>
    <xf numFmtId="0" fontId="11" fillId="5" borderId="41" xfId="0" applyFont="1" applyFill="1" applyBorder="1">
      <alignment vertical="center"/>
    </xf>
    <xf numFmtId="0" fontId="11" fillId="4" borderId="41" xfId="0" applyFont="1" applyFill="1" applyBorder="1">
      <alignment vertical="center"/>
    </xf>
    <xf numFmtId="0" fontId="11" fillId="5" borderId="52" xfId="0" applyFont="1" applyFill="1" applyBorder="1">
      <alignment vertical="center"/>
    </xf>
    <xf numFmtId="0" fontId="11" fillId="0" borderId="64" xfId="0" applyFont="1" applyBorder="1">
      <alignment vertical="center"/>
    </xf>
    <xf numFmtId="0" fontId="11" fillId="0" borderId="65" xfId="0" applyFont="1" applyBorder="1">
      <alignment vertical="center"/>
    </xf>
    <xf numFmtId="0" fontId="11" fillId="4" borderId="68" xfId="0" applyFont="1" applyFill="1" applyBorder="1">
      <alignment vertical="center"/>
    </xf>
    <xf numFmtId="0" fontId="11" fillId="0" borderId="68" xfId="0" applyFont="1" applyFill="1" applyBorder="1">
      <alignment vertical="center"/>
    </xf>
    <xf numFmtId="0" fontId="11" fillId="0" borderId="68" xfId="0" applyFont="1" applyBorder="1">
      <alignment vertical="center"/>
    </xf>
    <xf numFmtId="0" fontId="11" fillId="0" borderId="69" xfId="0" applyFont="1" applyBorder="1">
      <alignment vertical="center"/>
    </xf>
    <xf numFmtId="0" fontId="11" fillId="0" borderId="70" xfId="0" applyFont="1" applyBorder="1">
      <alignment vertical="center"/>
    </xf>
    <xf numFmtId="0" fontId="11" fillId="0" borderId="71" xfId="0" applyFont="1" applyBorder="1">
      <alignment vertical="center"/>
    </xf>
    <xf numFmtId="0" fontId="11" fillId="0" borderId="72" xfId="0" applyFont="1" applyBorder="1">
      <alignment vertical="center"/>
    </xf>
    <xf numFmtId="0" fontId="11" fillId="0" borderId="73" xfId="0" applyFont="1" applyBorder="1">
      <alignment vertical="center"/>
    </xf>
    <xf numFmtId="0" fontId="11" fillId="0" borderId="77" xfId="0" applyFont="1" applyBorder="1">
      <alignment vertical="center"/>
    </xf>
    <xf numFmtId="0" fontId="11" fillId="4" borderId="77" xfId="0" applyFont="1" applyFill="1" applyBorder="1">
      <alignment vertical="center"/>
    </xf>
    <xf numFmtId="0" fontId="11" fillId="0" borderId="78" xfId="0" applyFont="1" applyBorder="1">
      <alignment vertical="center"/>
    </xf>
    <xf numFmtId="0" fontId="11" fillId="0" borderId="79" xfId="0" applyFont="1" applyBorder="1">
      <alignment vertical="center"/>
    </xf>
    <xf numFmtId="0" fontId="13" fillId="0" borderId="84" xfId="0" applyFont="1" applyFill="1" applyBorder="1" applyAlignment="1">
      <alignment horizontal="center" vertical="center"/>
    </xf>
    <xf numFmtId="0" fontId="11" fillId="0" borderId="85" xfId="0" applyFont="1" applyBorder="1">
      <alignment vertical="center"/>
    </xf>
    <xf numFmtId="0" fontId="11" fillId="5" borderId="77" xfId="0" applyFont="1" applyFill="1" applyBorder="1">
      <alignment vertical="center"/>
    </xf>
    <xf numFmtId="0" fontId="11" fillId="5" borderId="79" xfId="0" applyFont="1" applyFill="1" applyBorder="1">
      <alignment vertical="center"/>
    </xf>
    <xf numFmtId="0" fontId="11" fillId="0" borderId="61" xfId="0" applyFont="1" applyBorder="1">
      <alignment vertical="center"/>
    </xf>
    <xf numFmtId="0" fontId="11" fillId="4" borderId="61" xfId="0" applyFont="1" applyFill="1" applyBorder="1">
      <alignment vertical="center"/>
    </xf>
    <xf numFmtId="0" fontId="11" fillId="0" borderId="86" xfId="0" applyFont="1" applyBorder="1">
      <alignment vertical="center"/>
    </xf>
    <xf numFmtId="0" fontId="11" fillId="4" borderId="87" xfId="0" applyFont="1" applyFill="1" applyBorder="1">
      <alignment vertical="center"/>
    </xf>
    <xf numFmtId="0" fontId="13" fillId="0" borderId="88" xfId="0" applyFont="1" applyFill="1" applyBorder="1" applyAlignment="1">
      <alignment horizontal="center" vertical="center"/>
    </xf>
    <xf numFmtId="0" fontId="13" fillId="0" borderId="89" xfId="0" applyFont="1" applyFill="1" applyBorder="1" applyAlignment="1">
      <alignment horizontal="center" vertical="center"/>
    </xf>
    <xf numFmtId="0" fontId="11" fillId="4" borderId="90" xfId="0" applyFont="1" applyFill="1" applyBorder="1">
      <alignment vertical="center"/>
    </xf>
    <xf numFmtId="0" fontId="11" fillId="4" borderId="91" xfId="0" applyFont="1" applyFill="1" applyBorder="1">
      <alignment vertical="center"/>
    </xf>
    <xf numFmtId="0" fontId="11" fillId="0" borderId="91" xfId="0" applyFont="1" applyBorder="1">
      <alignment vertical="center"/>
    </xf>
    <xf numFmtId="0" fontId="11" fillId="0" borderId="92" xfId="0" applyFont="1" applyBorder="1">
      <alignment vertical="center"/>
    </xf>
    <xf numFmtId="0" fontId="11" fillId="4" borderId="86" xfId="0" applyFont="1" applyFill="1" applyBorder="1">
      <alignment vertical="center"/>
    </xf>
    <xf numFmtId="0" fontId="11" fillId="0" borderId="90" xfId="0" applyFont="1" applyBorder="1">
      <alignment vertical="center"/>
    </xf>
    <xf numFmtId="0" fontId="11" fillId="0" borderId="93" xfId="0" applyFont="1" applyBorder="1">
      <alignment vertical="center"/>
    </xf>
    <xf numFmtId="0" fontId="11" fillId="0" borderId="94" xfId="0" applyFont="1" applyBorder="1">
      <alignment vertical="center"/>
    </xf>
    <xf numFmtId="0" fontId="11" fillId="0" borderId="81" xfId="0" applyFont="1" applyBorder="1">
      <alignment vertical="center"/>
    </xf>
    <xf numFmtId="0" fontId="11" fillId="4" borderId="81" xfId="0" applyFont="1" applyFill="1" applyBorder="1">
      <alignment vertical="center"/>
    </xf>
    <xf numFmtId="0" fontId="11" fillId="4" borderId="0" xfId="0" applyFont="1" applyFill="1" applyBorder="1">
      <alignment vertical="center"/>
    </xf>
    <xf numFmtId="0" fontId="11" fillId="0" borderId="95" xfId="0" applyFont="1" applyBorder="1">
      <alignment vertical="center"/>
    </xf>
    <xf numFmtId="0" fontId="11" fillId="0" borderId="80" xfId="0" applyFont="1" applyBorder="1">
      <alignment vertical="center"/>
    </xf>
    <xf numFmtId="0" fontId="11" fillId="0" borderId="36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37" xfId="0" applyFont="1" applyBorder="1">
      <alignment vertical="center"/>
    </xf>
    <xf numFmtId="0" fontId="11" fillId="0" borderId="21" xfId="0" applyFont="1" applyBorder="1">
      <alignment vertical="center"/>
    </xf>
    <xf numFmtId="0" fontId="11" fillId="0" borderId="99" xfId="0" applyFont="1" applyBorder="1">
      <alignment vertical="center"/>
    </xf>
    <xf numFmtId="0" fontId="11" fillId="0" borderId="59" xfId="0" applyFont="1" applyBorder="1">
      <alignment vertical="center"/>
    </xf>
    <xf numFmtId="0" fontId="11" fillId="0" borderId="62" xfId="0" applyFont="1" applyBorder="1">
      <alignment vertical="center"/>
    </xf>
    <xf numFmtId="0" fontId="11" fillId="4" borderId="59" xfId="0" applyFont="1" applyFill="1" applyBorder="1">
      <alignment vertical="center"/>
    </xf>
    <xf numFmtId="0" fontId="11" fillId="0" borderId="100" xfId="0" applyFont="1" applyBorder="1">
      <alignment vertical="center"/>
    </xf>
    <xf numFmtId="0" fontId="11" fillId="0" borderId="101" xfId="0" applyFont="1" applyBorder="1">
      <alignment vertical="center"/>
    </xf>
    <xf numFmtId="0" fontId="11" fillId="5" borderId="94" xfId="0" applyFont="1" applyFill="1" applyBorder="1">
      <alignment vertical="center"/>
    </xf>
    <xf numFmtId="0" fontId="11" fillId="4" borderId="95" xfId="0" applyFont="1" applyFill="1" applyBorder="1">
      <alignment vertical="center"/>
    </xf>
    <xf numFmtId="0" fontId="11" fillId="4" borderId="38" xfId="0" applyFont="1" applyFill="1" applyBorder="1">
      <alignment vertical="center"/>
    </xf>
    <xf numFmtId="0" fontId="11" fillId="4" borderId="92" xfId="0" applyFont="1" applyFill="1" applyBorder="1">
      <alignment vertical="center"/>
    </xf>
    <xf numFmtId="0" fontId="11" fillId="0" borderId="61" xfId="0" applyFont="1" applyFill="1" applyBorder="1">
      <alignment vertical="center"/>
    </xf>
    <xf numFmtId="0" fontId="11" fillId="0" borderId="87" xfId="0" applyFont="1" applyBorder="1">
      <alignment vertical="center"/>
    </xf>
    <xf numFmtId="0" fontId="11" fillId="4" borderId="85" xfId="0" applyFont="1" applyFill="1" applyBorder="1">
      <alignment vertical="center"/>
    </xf>
    <xf numFmtId="0" fontId="11" fillId="4" borderId="65" xfId="0" applyFont="1" applyFill="1" applyBorder="1">
      <alignment vertical="center"/>
    </xf>
    <xf numFmtId="0" fontId="11" fillId="0" borderId="102" xfId="0" applyFont="1" applyBorder="1">
      <alignment vertical="center"/>
    </xf>
    <xf numFmtId="0" fontId="11" fillId="0" borderId="58" xfId="0" applyFont="1" applyBorder="1">
      <alignment vertical="center"/>
    </xf>
    <xf numFmtId="0" fontId="11" fillId="0" borderId="103" xfId="0" applyFont="1" applyBorder="1">
      <alignment vertical="center"/>
    </xf>
    <xf numFmtId="0" fontId="11" fillId="0" borderId="60" xfId="0" applyFont="1" applyBorder="1">
      <alignment vertical="center"/>
    </xf>
    <xf numFmtId="0" fontId="11" fillId="4" borderId="80" xfId="0" applyFont="1" applyFill="1" applyBorder="1">
      <alignment vertical="center"/>
    </xf>
    <xf numFmtId="0" fontId="11" fillId="6" borderId="81" xfId="0" applyFont="1" applyFill="1" applyBorder="1">
      <alignment vertical="center"/>
    </xf>
    <xf numFmtId="0" fontId="11" fillId="6" borderId="36" xfId="0" applyFont="1" applyFill="1" applyBorder="1">
      <alignment vertical="center"/>
    </xf>
    <xf numFmtId="0" fontId="11" fillId="6" borderId="0" xfId="0" applyFont="1" applyFill="1" applyBorder="1">
      <alignment vertical="center"/>
    </xf>
    <xf numFmtId="0" fontId="11" fillId="6" borderId="37" xfId="0" applyFont="1" applyFill="1" applyBorder="1">
      <alignment vertical="center"/>
    </xf>
    <xf numFmtId="0" fontId="11" fillId="6" borderId="95" xfId="0" applyFont="1" applyFill="1" applyBorder="1">
      <alignment vertical="center"/>
    </xf>
    <xf numFmtId="0" fontId="11" fillId="6" borderId="38" xfId="0" applyFont="1" applyFill="1" applyBorder="1">
      <alignment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7" fillId="0" borderId="66" xfId="0" applyFont="1" applyBorder="1" applyAlignment="1">
      <alignment horizontal="left" vertical="center"/>
    </xf>
    <xf numFmtId="0" fontId="7" fillId="0" borderId="67" xfId="0" applyFont="1" applyBorder="1" applyAlignment="1">
      <alignment horizontal="left" vertical="center"/>
    </xf>
    <xf numFmtId="0" fontId="7" fillId="0" borderId="96" xfId="0" applyFont="1" applyBorder="1" applyAlignment="1">
      <alignment horizontal="left" vertical="center"/>
    </xf>
    <xf numFmtId="0" fontId="7" fillId="0" borderId="46" xfId="0" applyFont="1" applyBorder="1" applyAlignment="1">
      <alignment horizontal="left" vertical="center"/>
    </xf>
    <xf numFmtId="0" fontId="7" fillId="0" borderId="47" xfId="0" applyFont="1" applyBorder="1" applyAlignment="1">
      <alignment horizontal="left" vertical="center"/>
    </xf>
    <xf numFmtId="0" fontId="7" fillId="0" borderId="97" xfId="0" applyFont="1" applyBorder="1" applyAlignment="1">
      <alignment horizontal="left" vertical="center"/>
    </xf>
    <xf numFmtId="0" fontId="7" fillId="0" borderId="75" xfId="0" applyFont="1" applyBorder="1" applyAlignment="1">
      <alignment horizontal="left" vertical="center"/>
    </xf>
    <xf numFmtId="0" fontId="7" fillId="0" borderId="76" xfId="0" applyFont="1" applyBorder="1" applyAlignment="1">
      <alignment horizontal="left" vertical="center"/>
    </xf>
    <xf numFmtId="0" fontId="7" fillId="0" borderId="98" xfId="0" applyFont="1" applyBorder="1" applyAlignment="1">
      <alignment horizontal="left" vertical="center"/>
    </xf>
    <xf numFmtId="0" fontId="9" fillId="3" borderId="80" xfId="0" applyFont="1" applyFill="1" applyBorder="1" applyAlignment="1">
      <alignment horizontal="center" vertical="center"/>
    </xf>
    <xf numFmtId="0" fontId="9" fillId="3" borderId="81" xfId="0" applyFont="1" applyFill="1" applyBorder="1" applyAlignment="1">
      <alignment horizontal="center" vertical="center"/>
    </xf>
    <xf numFmtId="0" fontId="9" fillId="3" borderId="82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39" xfId="0" applyFont="1" applyFill="1" applyBorder="1" applyAlignment="1">
      <alignment horizontal="center" vertical="center"/>
    </xf>
    <xf numFmtId="0" fontId="9" fillId="3" borderId="83" xfId="0" applyFont="1" applyFill="1" applyBorder="1" applyAlignment="1">
      <alignment horizontal="center" vertical="center" wrapText="1"/>
    </xf>
    <xf numFmtId="0" fontId="9" fillId="3" borderId="81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7" fillId="0" borderId="56" xfId="0" applyFont="1" applyBorder="1" applyAlignment="1">
      <alignment horizontal="left" vertical="center"/>
    </xf>
    <xf numFmtId="0" fontId="7" fillId="0" borderId="57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0" fontId="7" fillId="0" borderId="45" xfId="0" applyFont="1" applyBorder="1" applyAlignment="1">
      <alignment horizontal="left" vertical="center"/>
    </xf>
    <xf numFmtId="0" fontId="7" fillId="0" borderId="50" xfId="0" applyFont="1" applyBorder="1" applyAlignment="1">
      <alignment horizontal="left" vertical="center"/>
    </xf>
    <xf numFmtId="0" fontId="7" fillId="0" borderId="51" xfId="0" applyFont="1" applyBorder="1" applyAlignment="1">
      <alignment horizontal="left" vertical="center"/>
    </xf>
    <xf numFmtId="0" fontId="7" fillId="0" borderId="48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82" xfId="0" applyFont="1" applyFill="1" applyBorder="1" applyAlignment="1">
      <alignment horizontal="center" vertical="center"/>
    </xf>
    <xf numFmtId="0" fontId="10" fillId="3" borderId="83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49" fontId="3" fillId="0" borderId="8" xfId="2" applyNumberFormat="1" applyFont="1" applyFill="1" applyBorder="1" applyAlignment="1">
      <alignment horizontal="center" vertical="center" wrapText="1"/>
    </xf>
    <xf numFmtId="49" fontId="3" fillId="0" borderId="5" xfId="2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1" fillId="6" borderId="61" xfId="0" applyFont="1" applyFill="1" applyBorder="1">
      <alignment vertical="center"/>
    </xf>
    <xf numFmtId="0" fontId="11" fillId="6" borderId="86" xfId="0" applyFont="1" applyFill="1" applyBorder="1">
      <alignment vertical="center"/>
    </xf>
    <xf numFmtId="0" fontId="11" fillId="6" borderId="0" xfId="0" applyFont="1" applyFill="1">
      <alignment vertical="center"/>
    </xf>
    <xf numFmtId="0" fontId="11" fillId="6" borderId="52" xfId="0" applyFont="1" applyFill="1" applyBorder="1">
      <alignment vertical="center"/>
    </xf>
    <xf numFmtId="0" fontId="11" fillId="6" borderId="73" xfId="0" applyFont="1" applyFill="1" applyBorder="1">
      <alignment vertical="center"/>
    </xf>
    <xf numFmtId="0" fontId="11" fillId="6" borderId="43" xfId="0" applyFont="1" applyFill="1" applyBorder="1">
      <alignment vertical="center"/>
    </xf>
    <xf numFmtId="0" fontId="11" fillId="6" borderId="72" xfId="0" applyFont="1" applyFill="1" applyBorder="1">
      <alignment vertical="center"/>
    </xf>
    <xf numFmtId="0" fontId="11" fillId="6" borderId="41" xfId="0" applyFont="1" applyFill="1" applyBorder="1">
      <alignment vertical="center"/>
    </xf>
    <xf numFmtId="0" fontId="11" fillId="6" borderId="85" xfId="0" applyFont="1" applyFill="1" applyBorder="1">
      <alignment vertical="center"/>
    </xf>
  </cellXfs>
  <cellStyles count="3">
    <cellStyle name="標準" xfId="0" builtinId="0"/>
    <cellStyle name="標準_MD-仕様-DXXX_00_福祉請求JET4.0_2007Runtime_2003" xfId="1" xr:uid="{00000000-0005-0000-0000-000001000000}"/>
    <cellStyle name="標準_システム管理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73F2-5421-46FF-B7EA-C6517AF316B2}">
  <dimension ref="B2:CL32"/>
  <sheetViews>
    <sheetView tabSelected="1" topLeftCell="A4" workbookViewId="0">
      <selection activeCell="R27" sqref="R27"/>
    </sheetView>
  </sheetViews>
  <sheetFormatPr defaultColWidth="3" defaultRowHeight="13.2"/>
  <cols>
    <col min="3" max="90" width="2.6640625" style="68" customWidth="1"/>
  </cols>
  <sheetData>
    <row r="2" spans="2:90">
      <c r="B2" s="192" t="s">
        <v>140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</row>
    <row r="3" spans="2:90" ht="13.8" customHeight="1"/>
    <row r="5" spans="2:90" ht="13.8" thickBot="1"/>
    <row r="6" spans="2:90" ht="28.8" customHeight="1">
      <c r="B6" s="168" t="s">
        <v>121</v>
      </c>
      <c r="C6" s="169"/>
      <c r="D6" s="170"/>
      <c r="E6" s="174" t="s">
        <v>46</v>
      </c>
      <c r="F6" s="175"/>
      <c r="G6" s="175"/>
      <c r="H6" s="175"/>
      <c r="I6" s="175"/>
      <c r="J6" s="175"/>
      <c r="K6" s="175"/>
      <c r="L6" s="175"/>
      <c r="M6" s="175"/>
      <c r="N6" s="193" t="s">
        <v>141</v>
      </c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5"/>
      <c r="AD6" s="196" t="s">
        <v>142</v>
      </c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7"/>
      <c r="AS6" s="193" t="s">
        <v>143</v>
      </c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5"/>
    </row>
    <row r="7" spans="2:90" s="74" customFormat="1" ht="17.399999999999999" customHeight="1" thickBot="1">
      <c r="B7" s="171"/>
      <c r="C7" s="172"/>
      <c r="D7" s="173"/>
      <c r="E7" s="176"/>
      <c r="F7" s="177"/>
      <c r="G7" s="177"/>
      <c r="H7" s="177"/>
      <c r="I7" s="177"/>
      <c r="J7" s="177"/>
      <c r="K7" s="177"/>
      <c r="L7" s="177"/>
      <c r="M7" s="177"/>
      <c r="N7" s="109">
        <v>1</v>
      </c>
      <c r="O7" s="76">
        <v>3</v>
      </c>
      <c r="P7" s="76">
        <v>5</v>
      </c>
      <c r="Q7" s="75">
        <v>7</v>
      </c>
      <c r="R7" s="76">
        <v>9</v>
      </c>
      <c r="S7" s="76">
        <v>11</v>
      </c>
      <c r="T7" s="75">
        <v>13</v>
      </c>
      <c r="U7" s="76">
        <v>15</v>
      </c>
      <c r="V7" s="76">
        <v>17</v>
      </c>
      <c r="W7" s="75">
        <v>19</v>
      </c>
      <c r="X7" s="76">
        <v>21</v>
      </c>
      <c r="Y7" s="76">
        <v>23</v>
      </c>
      <c r="Z7" s="75">
        <v>25</v>
      </c>
      <c r="AA7" s="76">
        <v>27</v>
      </c>
      <c r="AB7" s="76">
        <v>29</v>
      </c>
      <c r="AC7" s="110">
        <v>31</v>
      </c>
      <c r="AD7" s="76">
        <v>1</v>
      </c>
      <c r="AE7" s="76">
        <v>3</v>
      </c>
      <c r="AF7" s="76">
        <v>5</v>
      </c>
      <c r="AG7" s="75">
        <v>7</v>
      </c>
      <c r="AH7" s="76">
        <v>9</v>
      </c>
      <c r="AI7" s="76">
        <v>11</v>
      </c>
      <c r="AJ7" s="75">
        <v>13</v>
      </c>
      <c r="AK7" s="76">
        <v>15</v>
      </c>
      <c r="AL7" s="76">
        <v>17</v>
      </c>
      <c r="AM7" s="75">
        <v>19</v>
      </c>
      <c r="AN7" s="76">
        <v>21</v>
      </c>
      <c r="AO7" s="76">
        <v>23</v>
      </c>
      <c r="AP7" s="75">
        <v>25</v>
      </c>
      <c r="AQ7" s="76">
        <v>27</v>
      </c>
      <c r="AR7" s="76">
        <v>29</v>
      </c>
      <c r="AS7" s="109">
        <v>1</v>
      </c>
      <c r="AT7" s="76">
        <v>3</v>
      </c>
      <c r="AU7" s="76">
        <v>5</v>
      </c>
      <c r="AV7" s="75">
        <v>7</v>
      </c>
      <c r="AW7" s="76">
        <v>9</v>
      </c>
      <c r="AX7" s="76">
        <v>11</v>
      </c>
      <c r="AY7" s="75">
        <v>13</v>
      </c>
      <c r="AZ7" s="76">
        <v>15</v>
      </c>
      <c r="BA7" s="76">
        <v>17</v>
      </c>
      <c r="BB7" s="75">
        <v>19</v>
      </c>
      <c r="BC7" s="76">
        <v>21</v>
      </c>
      <c r="BD7" s="76">
        <v>23</v>
      </c>
      <c r="BE7" s="75">
        <v>25</v>
      </c>
      <c r="BF7" s="76">
        <v>27</v>
      </c>
      <c r="BG7" s="75">
        <v>29</v>
      </c>
      <c r="BH7" s="101">
        <v>31</v>
      </c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</row>
    <row r="8" spans="2:90">
      <c r="B8" s="186" t="s">
        <v>48</v>
      </c>
      <c r="C8" s="187"/>
      <c r="D8" s="187"/>
      <c r="E8" s="159" t="s">
        <v>49</v>
      </c>
      <c r="F8" s="160"/>
      <c r="G8" s="160"/>
      <c r="H8" s="160"/>
      <c r="I8" s="160"/>
      <c r="J8" s="160"/>
      <c r="K8" s="160"/>
      <c r="L8" s="160"/>
      <c r="M8" s="160"/>
      <c r="N8" s="111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0"/>
      <c r="AB8" s="90"/>
      <c r="AC8" s="93"/>
      <c r="AD8" s="92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128"/>
      <c r="AS8" s="116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3"/>
    </row>
    <row r="9" spans="2:90">
      <c r="B9" s="188"/>
      <c r="C9" s="189"/>
      <c r="D9" s="189"/>
      <c r="E9" s="162" t="s">
        <v>51</v>
      </c>
      <c r="F9" s="163"/>
      <c r="G9" s="163"/>
      <c r="H9" s="163"/>
      <c r="I9" s="163"/>
      <c r="J9" s="163"/>
      <c r="K9" s="163"/>
      <c r="L9" s="163"/>
      <c r="M9" s="163"/>
      <c r="N9" s="112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78"/>
      <c r="AA9" s="78"/>
      <c r="AB9" s="78"/>
      <c r="AC9" s="94"/>
      <c r="AD9" s="79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129"/>
      <c r="AS9" s="113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94"/>
    </row>
    <row r="10" spans="2:90">
      <c r="B10" s="188"/>
      <c r="C10" s="189"/>
      <c r="D10" s="189"/>
      <c r="E10" s="162" t="s">
        <v>8</v>
      </c>
      <c r="F10" s="163"/>
      <c r="G10" s="163"/>
      <c r="H10" s="163"/>
      <c r="I10" s="163"/>
      <c r="J10" s="163"/>
      <c r="K10" s="163"/>
      <c r="L10" s="163"/>
      <c r="M10" s="163"/>
      <c r="N10" s="112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78"/>
      <c r="AA10" s="78"/>
      <c r="AB10" s="78"/>
      <c r="AC10" s="94"/>
      <c r="AD10" s="79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129"/>
      <c r="AS10" s="113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94"/>
    </row>
    <row r="11" spans="2:90">
      <c r="B11" s="188"/>
      <c r="C11" s="189"/>
      <c r="D11" s="189"/>
      <c r="E11" s="162" t="s">
        <v>9</v>
      </c>
      <c r="F11" s="163"/>
      <c r="G11" s="163"/>
      <c r="H11" s="163"/>
      <c r="I11" s="163"/>
      <c r="J11" s="163"/>
      <c r="K11" s="163"/>
      <c r="L11" s="163"/>
      <c r="M11" s="163"/>
      <c r="N11" s="112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78"/>
      <c r="AA11" s="78"/>
      <c r="AB11" s="78"/>
      <c r="AC11" s="94"/>
      <c r="AD11" s="79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129"/>
      <c r="AS11" s="113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94"/>
    </row>
    <row r="12" spans="2:90">
      <c r="B12" s="188"/>
      <c r="C12" s="189"/>
      <c r="D12" s="189"/>
      <c r="E12" s="162" t="s">
        <v>10</v>
      </c>
      <c r="F12" s="163"/>
      <c r="G12" s="163"/>
      <c r="H12" s="163"/>
      <c r="I12" s="163"/>
      <c r="J12" s="163"/>
      <c r="K12" s="163"/>
      <c r="L12" s="163"/>
      <c r="M12" s="163"/>
      <c r="N12" s="112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78"/>
      <c r="AA12" s="78"/>
      <c r="AB12" s="78"/>
      <c r="AC12" s="94"/>
      <c r="AD12" s="79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129"/>
      <c r="AS12" s="113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94"/>
    </row>
    <row r="13" spans="2:90">
      <c r="B13" s="188"/>
      <c r="C13" s="189"/>
      <c r="D13" s="189"/>
      <c r="E13" s="162" t="s">
        <v>12</v>
      </c>
      <c r="F13" s="163"/>
      <c r="G13" s="163"/>
      <c r="H13" s="163"/>
      <c r="I13" s="163"/>
      <c r="J13" s="163"/>
      <c r="K13" s="163"/>
      <c r="L13" s="163"/>
      <c r="M13" s="163"/>
      <c r="N13" s="112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78"/>
      <c r="AA13" s="78"/>
      <c r="AB13" s="78"/>
      <c r="AC13" s="94"/>
      <c r="AD13" s="79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129"/>
      <c r="AS13" s="113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94"/>
    </row>
    <row r="14" spans="2:90">
      <c r="B14" s="188"/>
      <c r="C14" s="189"/>
      <c r="D14" s="189"/>
      <c r="E14" s="178" t="s">
        <v>16</v>
      </c>
      <c r="F14" s="179"/>
      <c r="G14" s="179"/>
      <c r="H14" s="179"/>
      <c r="I14" s="179"/>
      <c r="J14" s="179"/>
      <c r="K14" s="179"/>
      <c r="L14" s="179"/>
      <c r="M14" s="179"/>
      <c r="N14" s="137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38"/>
      <c r="AA14" s="138"/>
      <c r="AB14" s="138"/>
      <c r="AC14" s="107"/>
      <c r="AD14" s="139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30"/>
      <c r="AS14" s="114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212"/>
      <c r="BG14" s="212"/>
      <c r="BH14" s="213"/>
      <c r="BI14" s="214"/>
      <c r="BJ14" s="214"/>
      <c r="BK14" s="214"/>
      <c r="BL14" s="214"/>
      <c r="BM14" s="214"/>
      <c r="BN14" s="214"/>
      <c r="BO14" s="214"/>
      <c r="BP14" s="214"/>
      <c r="BQ14" s="214"/>
      <c r="BR14" s="214"/>
      <c r="BS14" s="214"/>
    </row>
    <row r="15" spans="2:90">
      <c r="B15" s="188"/>
      <c r="C15" s="189"/>
      <c r="D15" s="189"/>
      <c r="E15" s="180" t="s">
        <v>145</v>
      </c>
      <c r="F15" s="181"/>
      <c r="G15" s="181"/>
      <c r="H15" s="181"/>
      <c r="I15" s="181"/>
      <c r="J15" s="181"/>
      <c r="K15" s="181"/>
      <c r="L15" s="181"/>
      <c r="M15" s="181"/>
      <c r="N15" s="14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86"/>
      <c r="AA15" s="86"/>
      <c r="AB15" s="86"/>
      <c r="AC15" s="96"/>
      <c r="AD15" s="87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143"/>
      <c r="AS15" s="14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215"/>
      <c r="BG15" s="215"/>
      <c r="BH15" s="216"/>
      <c r="BI15" s="214"/>
      <c r="BJ15" s="214"/>
      <c r="BK15" s="214"/>
      <c r="BL15" s="214"/>
      <c r="BM15" s="214"/>
      <c r="BN15" s="214"/>
      <c r="BO15" s="214"/>
      <c r="BP15" s="214"/>
      <c r="BQ15" s="214"/>
      <c r="BR15" s="214"/>
      <c r="BS15" s="214"/>
    </row>
    <row r="16" spans="2:90">
      <c r="B16" s="188"/>
      <c r="C16" s="189"/>
      <c r="D16" s="189"/>
      <c r="E16" s="184" t="s">
        <v>144</v>
      </c>
      <c r="F16" s="185"/>
      <c r="G16" s="185"/>
      <c r="H16" s="185"/>
      <c r="I16" s="185"/>
      <c r="J16" s="185"/>
      <c r="K16" s="185"/>
      <c r="L16" s="185"/>
      <c r="M16" s="185"/>
      <c r="N16" s="144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83"/>
      <c r="AA16" s="83"/>
      <c r="AB16" s="83"/>
      <c r="AC16" s="95"/>
      <c r="AD16" s="80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145"/>
      <c r="AS16" s="144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217"/>
      <c r="BG16" s="217"/>
      <c r="BH16" s="218"/>
      <c r="BI16" s="214"/>
      <c r="BJ16" s="214"/>
      <c r="BK16" s="214"/>
      <c r="BL16" s="214"/>
      <c r="BM16" s="214"/>
      <c r="BN16" s="214"/>
      <c r="BO16" s="214"/>
      <c r="BP16" s="214"/>
      <c r="BQ16" s="214"/>
      <c r="BR16" s="214"/>
      <c r="BS16" s="214"/>
    </row>
    <row r="17" spans="2:71">
      <c r="B17" s="188"/>
      <c r="C17" s="189"/>
      <c r="D17" s="189"/>
      <c r="E17" s="182" t="s">
        <v>24</v>
      </c>
      <c r="F17" s="183"/>
      <c r="G17" s="183"/>
      <c r="H17" s="183"/>
      <c r="I17" s="183"/>
      <c r="J17" s="183"/>
      <c r="K17" s="183"/>
      <c r="L17" s="183"/>
      <c r="M17" s="183"/>
      <c r="N17" s="118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140"/>
      <c r="AD17" s="141"/>
      <c r="AE17" s="85"/>
      <c r="AF17" s="85"/>
      <c r="AG17" s="85"/>
      <c r="AH17" s="85"/>
      <c r="AI17" s="85"/>
      <c r="AJ17" s="69"/>
      <c r="AK17" s="69"/>
      <c r="AL17" s="69"/>
      <c r="AM17" s="69"/>
      <c r="AN17" s="69"/>
      <c r="AO17" s="69"/>
      <c r="AP17" s="69"/>
      <c r="AQ17" s="69"/>
      <c r="AR17" s="133"/>
      <c r="AS17" s="118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219"/>
      <c r="BG17" s="219"/>
      <c r="BH17" s="220"/>
      <c r="BI17" s="214"/>
      <c r="BJ17" s="214"/>
      <c r="BK17" s="214"/>
      <c r="BL17" s="214"/>
      <c r="BM17" s="214"/>
      <c r="BN17" s="214"/>
      <c r="BO17" s="214"/>
      <c r="BP17" s="214"/>
      <c r="BQ17" s="214"/>
      <c r="BR17" s="214"/>
      <c r="BS17" s="214"/>
    </row>
    <row r="18" spans="2:71" ht="13.8" thickBot="1">
      <c r="B18" s="188"/>
      <c r="C18" s="189"/>
      <c r="D18" s="189"/>
      <c r="E18" s="178" t="s">
        <v>29</v>
      </c>
      <c r="F18" s="179"/>
      <c r="G18" s="179"/>
      <c r="H18" s="179"/>
      <c r="I18" s="179"/>
      <c r="J18" s="179"/>
      <c r="K18" s="179"/>
      <c r="L18" s="179"/>
      <c r="M18" s="179"/>
      <c r="N18" s="114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15"/>
      <c r="AD18" s="108"/>
      <c r="AE18" s="106"/>
      <c r="AF18" s="106"/>
      <c r="AG18" s="106"/>
      <c r="AH18" s="106"/>
      <c r="AI18" s="106"/>
      <c r="AJ18" s="105"/>
      <c r="AK18" s="105"/>
      <c r="AL18" s="105"/>
      <c r="AM18" s="105"/>
      <c r="AN18" s="105"/>
      <c r="AO18" s="105"/>
      <c r="AP18" s="105"/>
      <c r="AQ18" s="105"/>
      <c r="AR18" s="130"/>
      <c r="AS18" s="114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7"/>
    </row>
    <row r="19" spans="2:71">
      <c r="B19" s="186" t="s">
        <v>105</v>
      </c>
      <c r="C19" s="187"/>
      <c r="D19" s="187"/>
      <c r="E19" s="159" t="s">
        <v>62</v>
      </c>
      <c r="F19" s="160"/>
      <c r="G19" s="160"/>
      <c r="H19" s="160"/>
      <c r="I19" s="160"/>
      <c r="J19" s="160"/>
      <c r="K19" s="160"/>
      <c r="L19" s="160"/>
      <c r="M19" s="160"/>
      <c r="N19" s="116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3"/>
      <c r="AD19" s="92"/>
      <c r="AE19" s="91"/>
      <c r="AF19" s="91"/>
      <c r="AG19" s="91"/>
      <c r="AH19" s="91"/>
      <c r="AI19" s="91"/>
      <c r="AJ19" s="89"/>
      <c r="AK19" s="89"/>
      <c r="AL19" s="89"/>
      <c r="AM19" s="89"/>
      <c r="AN19" s="89"/>
      <c r="AO19" s="89"/>
      <c r="AP19" s="91"/>
      <c r="AQ19" s="91"/>
      <c r="AR19" s="128"/>
      <c r="AS19" s="116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3"/>
    </row>
    <row r="20" spans="2:71">
      <c r="B20" s="188"/>
      <c r="C20" s="189"/>
      <c r="D20" s="189"/>
      <c r="E20" s="162" t="s">
        <v>63</v>
      </c>
      <c r="F20" s="163"/>
      <c r="G20" s="163"/>
      <c r="H20" s="163"/>
      <c r="I20" s="163"/>
      <c r="J20" s="163"/>
      <c r="K20" s="163"/>
      <c r="L20" s="163"/>
      <c r="M20" s="163"/>
      <c r="N20" s="113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94"/>
      <c r="AD20" s="79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1"/>
      <c r="AQ20" s="81"/>
      <c r="AR20" s="129"/>
      <c r="AS20" s="113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94"/>
    </row>
    <row r="21" spans="2:71">
      <c r="B21" s="188"/>
      <c r="C21" s="189"/>
      <c r="D21" s="189"/>
      <c r="E21" s="162" t="s">
        <v>64</v>
      </c>
      <c r="F21" s="163"/>
      <c r="G21" s="163"/>
      <c r="H21" s="163"/>
      <c r="I21" s="163"/>
      <c r="J21" s="163"/>
      <c r="K21" s="163"/>
      <c r="L21" s="163"/>
      <c r="M21" s="163"/>
      <c r="N21" s="113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94"/>
      <c r="AD21" s="79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131"/>
      <c r="AS21" s="112"/>
      <c r="AT21" s="81"/>
      <c r="AU21" s="81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94"/>
    </row>
    <row r="22" spans="2:71">
      <c r="B22" s="188"/>
      <c r="C22" s="189"/>
      <c r="D22" s="189"/>
      <c r="E22" s="162" t="s">
        <v>67</v>
      </c>
      <c r="F22" s="163"/>
      <c r="G22" s="163"/>
      <c r="H22" s="163"/>
      <c r="I22" s="163"/>
      <c r="J22" s="163"/>
      <c r="K22" s="163"/>
      <c r="L22" s="163"/>
      <c r="M22" s="163"/>
      <c r="N22" s="113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94"/>
      <c r="AD22" s="79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129"/>
      <c r="AS22" s="113"/>
      <c r="AT22" s="70"/>
      <c r="AU22" s="70"/>
      <c r="AV22" s="81"/>
      <c r="AW22" s="81"/>
      <c r="AX22" s="81"/>
      <c r="AY22" s="81"/>
      <c r="AZ22" s="70"/>
      <c r="BA22" s="70"/>
      <c r="BB22" s="70"/>
      <c r="BC22" s="70"/>
      <c r="BD22" s="70"/>
      <c r="BE22" s="70"/>
      <c r="BF22" s="70"/>
      <c r="BG22" s="70"/>
      <c r="BH22" s="94"/>
    </row>
    <row r="23" spans="2:71" ht="13.8" thickBot="1">
      <c r="B23" s="190"/>
      <c r="C23" s="191"/>
      <c r="D23" s="191"/>
      <c r="E23" s="165" t="s">
        <v>68</v>
      </c>
      <c r="F23" s="166"/>
      <c r="G23" s="166"/>
      <c r="H23" s="166"/>
      <c r="I23" s="166"/>
      <c r="J23" s="166"/>
      <c r="K23" s="166"/>
      <c r="L23" s="166"/>
      <c r="M23" s="166"/>
      <c r="N23" s="11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100"/>
      <c r="AD23" s="99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132"/>
      <c r="AS23" s="117"/>
      <c r="AT23" s="97"/>
      <c r="AU23" s="97"/>
      <c r="AV23" s="97"/>
      <c r="AW23" s="97"/>
      <c r="AX23" s="97"/>
      <c r="AY23" s="97"/>
      <c r="AZ23" s="98"/>
      <c r="BA23" s="98"/>
      <c r="BB23" s="98"/>
      <c r="BC23" s="98"/>
      <c r="BD23" s="97"/>
      <c r="BE23" s="97"/>
      <c r="BF23" s="97"/>
      <c r="BG23" s="97"/>
      <c r="BH23" s="100"/>
    </row>
    <row r="24" spans="2:71">
      <c r="B24" s="188" t="s">
        <v>106</v>
      </c>
      <c r="C24" s="189"/>
      <c r="D24" s="189"/>
      <c r="E24" s="182" t="s">
        <v>62</v>
      </c>
      <c r="F24" s="183"/>
      <c r="G24" s="183"/>
      <c r="H24" s="183"/>
      <c r="I24" s="183"/>
      <c r="J24" s="183"/>
      <c r="K24" s="183"/>
      <c r="L24" s="183"/>
      <c r="M24" s="183"/>
      <c r="N24" s="118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102"/>
      <c r="AD24" s="88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133"/>
      <c r="AS24" s="134"/>
      <c r="AT24" s="84"/>
      <c r="AU24" s="84"/>
      <c r="AV24" s="84"/>
      <c r="AW24" s="84"/>
      <c r="AX24" s="84"/>
      <c r="AY24" s="69"/>
      <c r="AZ24" s="69"/>
      <c r="BA24" s="69"/>
      <c r="BB24" s="69"/>
      <c r="BC24" s="69"/>
      <c r="BD24" s="69"/>
      <c r="BE24" s="69"/>
      <c r="BF24" s="69"/>
      <c r="BG24" s="69"/>
      <c r="BH24" s="102"/>
    </row>
    <row r="25" spans="2:71">
      <c r="B25" s="188"/>
      <c r="C25" s="189"/>
      <c r="D25" s="189"/>
      <c r="E25" s="162" t="s">
        <v>63</v>
      </c>
      <c r="F25" s="163"/>
      <c r="G25" s="163"/>
      <c r="H25" s="163"/>
      <c r="I25" s="163"/>
      <c r="J25" s="163"/>
      <c r="K25" s="163"/>
      <c r="L25" s="163"/>
      <c r="M25" s="163"/>
      <c r="N25" s="113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94"/>
      <c r="AD25" s="79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129"/>
      <c r="AS25" s="113"/>
      <c r="AT25" s="70"/>
      <c r="AU25" s="70"/>
      <c r="AV25" s="70"/>
      <c r="AW25" s="70"/>
      <c r="AX25" s="70"/>
      <c r="AY25" s="82"/>
      <c r="AZ25" s="82"/>
      <c r="BA25" s="70"/>
      <c r="BB25" s="70"/>
      <c r="BC25" s="70"/>
      <c r="BD25" s="70"/>
      <c r="BE25" s="70"/>
      <c r="BF25" s="70"/>
      <c r="BG25" s="70"/>
      <c r="BH25" s="94"/>
    </row>
    <row r="26" spans="2:71">
      <c r="B26" s="188"/>
      <c r="C26" s="189"/>
      <c r="D26" s="189"/>
      <c r="E26" s="162" t="s">
        <v>64</v>
      </c>
      <c r="F26" s="163"/>
      <c r="G26" s="163"/>
      <c r="H26" s="163"/>
      <c r="I26" s="163"/>
      <c r="J26" s="163"/>
      <c r="K26" s="163"/>
      <c r="L26" s="163"/>
      <c r="M26" s="163"/>
      <c r="N26" s="113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94"/>
      <c r="AD26" s="79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129"/>
      <c r="AS26" s="113"/>
      <c r="AT26" s="70"/>
      <c r="AU26" s="70"/>
      <c r="AV26" s="70"/>
      <c r="AW26" s="70"/>
      <c r="AX26" s="70"/>
      <c r="AY26" s="70"/>
      <c r="AZ26" s="70"/>
      <c r="BA26" s="82"/>
      <c r="BB26" s="82"/>
      <c r="BC26" s="82"/>
      <c r="BD26" s="70"/>
      <c r="BE26" s="70"/>
      <c r="BF26" s="70"/>
      <c r="BG26" s="70"/>
      <c r="BH26" s="94"/>
    </row>
    <row r="27" spans="2:71">
      <c r="B27" s="188"/>
      <c r="C27" s="189"/>
      <c r="D27" s="189"/>
      <c r="E27" s="162" t="s">
        <v>67</v>
      </c>
      <c r="F27" s="163"/>
      <c r="G27" s="163"/>
      <c r="H27" s="163"/>
      <c r="I27" s="163"/>
      <c r="J27" s="163"/>
      <c r="K27" s="163"/>
      <c r="L27" s="163"/>
      <c r="M27" s="163"/>
      <c r="N27" s="113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94"/>
      <c r="AD27" s="79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129"/>
      <c r="AS27" s="113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82"/>
      <c r="BE27" s="82"/>
      <c r="BF27" s="82"/>
      <c r="BG27" s="70"/>
      <c r="BH27" s="94"/>
    </row>
    <row r="28" spans="2:71" ht="13.8" thickBot="1">
      <c r="B28" s="190"/>
      <c r="C28" s="191"/>
      <c r="D28" s="191"/>
      <c r="E28" s="165" t="s">
        <v>68</v>
      </c>
      <c r="F28" s="166"/>
      <c r="G28" s="166"/>
      <c r="H28" s="166"/>
      <c r="I28" s="166"/>
      <c r="J28" s="166"/>
      <c r="K28" s="166"/>
      <c r="L28" s="166"/>
      <c r="M28" s="166"/>
      <c r="N28" s="11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100"/>
      <c r="AD28" s="99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132"/>
      <c r="AS28" s="11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103"/>
      <c r="BH28" s="104"/>
    </row>
    <row r="29" spans="2:71" ht="13.8" thickBot="1"/>
    <row r="30" spans="2:71">
      <c r="B30" s="153" t="s">
        <v>146</v>
      </c>
      <c r="C30" s="154"/>
      <c r="D30" s="154"/>
      <c r="E30" s="159" t="s">
        <v>64</v>
      </c>
      <c r="F30" s="160"/>
      <c r="G30" s="160"/>
      <c r="H30" s="160"/>
      <c r="I30" s="160"/>
      <c r="J30" s="160"/>
      <c r="K30" s="160"/>
      <c r="L30" s="160"/>
      <c r="M30" s="161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23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23"/>
      <c r="AT30" s="119"/>
      <c r="AU30" s="119"/>
      <c r="AV30" s="119"/>
      <c r="AW30" s="119"/>
      <c r="AX30" s="119"/>
      <c r="AY30" s="119"/>
      <c r="AZ30" s="119"/>
      <c r="BA30" s="119"/>
      <c r="BB30" s="146"/>
      <c r="BC30" s="120"/>
      <c r="BD30" s="120"/>
      <c r="BE30" s="119"/>
      <c r="BF30" s="119"/>
      <c r="BG30" s="119"/>
      <c r="BH30" s="124"/>
      <c r="BI30" s="147"/>
      <c r="BJ30" s="147"/>
      <c r="BK30" s="147"/>
      <c r="BL30" s="147"/>
      <c r="BM30" s="147"/>
      <c r="BN30" s="147"/>
      <c r="BO30" s="147"/>
      <c r="BP30" s="147"/>
      <c r="BQ30" s="147"/>
      <c r="BR30" s="147"/>
      <c r="BS30" s="148"/>
    </row>
    <row r="31" spans="2:71">
      <c r="B31" s="155"/>
      <c r="C31" s="156"/>
      <c r="D31" s="156"/>
      <c r="E31" s="162" t="s">
        <v>67</v>
      </c>
      <c r="F31" s="163"/>
      <c r="G31" s="163"/>
      <c r="H31" s="163"/>
      <c r="I31" s="163"/>
      <c r="J31" s="163"/>
      <c r="K31" s="163"/>
      <c r="L31" s="163"/>
      <c r="M31" s="164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125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125"/>
      <c r="AT31" s="77"/>
      <c r="AU31" s="77"/>
      <c r="AV31" s="77"/>
      <c r="AW31" s="77"/>
      <c r="AX31" s="77"/>
      <c r="AY31" s="77"/>
      <c r="AZ31" s="77"/>
      <c r="BA31" s="77"/>
      <c r="BB31" s="125"/>
      <c r="BC31" s="77"/>
      <c r="BD31" s="77"/>
      <c r="BE31" s="121"/>
      <c r="BF31" s="121"/>
      <c r="BG31" s="77"/>
      <c r="BH31" s="126"/>
      <c r="BI31" s="149"/>
      <c r="BJ31" s="149"/>
      <c r="BK31" s="149"/>
      <c r="BL31" s="149"/>
      <c r="BM31" s="149"/>
      <c r="BN31" s="149"/>
      <c r="BO31" s="149"/>
      <c r="BP31" s="149"/>
      <c r="BQ31" s="149"/>
      <c r="BR31" s="149"/>
      <c r="BS31" s="150"/>
    </row>
    <row r="32" spans="2:71" ht="13.8" thickBot="1">
      <c r="B32" s="157"/>
      <c r="C32" s="158"/>
      <c r="D32" s="158"/>
      <c r="E32" s="165" t="s">
        <v>68</v>
      </c>
      <c r="F32" s="166"/>
      <c r="G32" s="166"/>
      <c r="H32" s="166"/>
      <c r="I32" s="166"/>
      <c r="J32" s="166"/>
      <c r="K32" s="166"/>
      <c r="L32" s="166"/>
      <c r="M32" s="167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7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7"/>
      <c r="AT32" s="122"/>
      <c r="AU32" s="122"/>
      <c r="AV32" s="122"/>
      <c r="AW32" s="122"/>
      <c r="AX32" s="122"/>
      <c r="AY32" s="122"/>
      <c r="AZ32" s="122"/>
      <c r="BA32" s="122"/>
      <c r="BB32" s="127"/>
      <c r="BC32" s="122"/>
      <c r="BD32" s="122"/>
      <c r="BE32" s="122"/>
      <c r="BF32" s="122"/>
      <c r="BG32" s="135"/>
      <c r="BH32" s="136"/>
      <c r="BI32" s="151"/>
      <c r="BJ32" s="151"/>
      <c r="BK32" s="151"/>
      <c r="BL32" s="151"/>
      <c r="BM32" s="151"/>
      <c r="BN32" s="151"/>
      <c r="BO32" s="151"/>
      <c r="BP32" s="151"/>
      <c r="BQ32" s="151"/>
      <c r="BR32" s="151"/>
      <c r="BS32" s="152"/>
    </row>
  </sheetData>
  <mergeCells count="34">
    <mergeCell ref="E11:M11"/>
    <mergeCell ref="B2:AA2"/>
    <mergeCell ref="N6:AC6"/>
    <mergeCell ref="AD6:AR6"/>
    <mergeCell ref="AS6:BH6"/>
    <mergeCell ref="E21:M21"/>
    <mergeCell ref="E22:M22"/>
    <mergeCell ref="E23:M23"/>
    <mergeCell ref="E24:M24"/>
    <mergeCell ref="E25:M25"/>
    <mergeCell ref="B6:D7"/>
    <mergeCell ref="E6:M7"/>
    <mergeCell ref="E18:M18"/>
    <mergeCell ref="E15:M15"/>
    <mergeCell ref="E20:M20"/>
    <mergeCell ref="E12:M12"/>
    <mergeCell ref="E13:M13"/>
    <mergeCell ref="E14:M14"/>
    <mergeCell ref="E17:M17"/>
    <mergeCell ref="E16:M16"/>
    <mergeCell ref="E19:M19"/>
    <mergeCell ref="B8:D18"/>
    <mergeCell ref="B19:D23"/>
    <mergeCell ref="E8:M8"/>
    <mergeCell ref="E9:M9"/>
    <mergeCell ref="E10:M10"/>
    <mergeCell ref="B30:D32"/>
    <mergeCell ref="E30:M30"/>
    <mergeCell ref="E31:M31"/>
    <mergeCell ref="E32:M32"/>
    <mergeCell ref="E26:M26"/>
    <mergeCell ref="E27:M27"/>
    <mergeCell ref="E28:M28"/>
    <mergeCell ref="B24:D28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B20" sqref="B19:C21"/>
    </sheetView>
  </sheetViews>
  <sheetFormatPr defaultRowHeight="13.2"/>
  <cols>
    <col min="2" max="2" width="16.77734375" bestFit="1" customWidth="1"/>
    <col min="3" max="3" width="20.33203125" bestFit="1" customWidth="1"/>
    <col min="4" max="4" width="13" style="22" bestFit="1" customWidth="1"/>
  </cols>
  <sheetData>
    <row r="1" spans="1:5" ht="13.8" thickBot="1"/>
    <row r="2" spans="1:5" ht="14.4">
      <c r="A2" s="46" t="s">
        <v>45</v>
      </c>
      <c r="B2" s="47" t="s">
        <v>46</v>
      </c>
      <c r="C2" s="48" t="s">
        <v>59</v>
      </c>
      <c r="D2" s="48" t="s">
        <v>47</v>
      </c>
      <c r="E2" s="49" t="s">
        <v>103</v>
      </c>
    </row>
    <row r="3" spans="1:5">
      <c r="A3" s="36" t="s">
        <v>48</v>
      </c>
      <c r="B3" s="2" t="s">
        <v>49</v>
      </c>
      <c r="C3" s="200" t="s">
        <v>102</v>
      </c>
      <c r="D3" s="25">
        <v>16</v>
      </c>
      <c r="E3" s="198">
        <f>SUM(D3:D11)</f>
        <v>319</v>
      </c>
    </row>
    <row r="4" spans="1:5">
      <c r="A4" s="37"/>
      <c r="B4" s="3" t="s">
        <v>51</v>
      </c>
      <c r="C4" s="201"/>
      <c r="D4" s="26">
        <v>8</v>
      </c>
      <c r="E4" s="198"/>
    </row>
    <row r="5" spans="1:5">
      <c r="A5" s="37"/>
      <c r="B5" s="3" t="s">
        <v>8</v>
      </c>
      <c r="C5" s="201"/>
      <c r="D5" s="26">
        <v>35</v>
      </c>
      <c r="E5" s="198"/>
    </row>
    <row r="6" spans="1:5">
      <c r="A6" s="37"/>
      <c r="B6" s="3" t="s">
        <v>9</v>
      </c>
      <c r="C6" s="201"/>
      <c r="D6" s="26">
        <v>32</v>
      </c>
      <c r="E6" s="198"/>
    </row>
    <row r="7" spans="1:5">
      <c r="A7" s="37"/>
      <c r="B7" s="3" t="s">
        <v>10</v>
      </c>
      <c r="C7" s="201"/>
      <c r="D7" s="26">
        <v>26</v>
      </c>
      <c r="E7" s="198"/>
    </row>
    <row r="8" spans="1:5">
      <c r="A8" s="37"/>
      <c r="B8" s="3" t="s">
        <v>12</v>
      </c>
      <c r="C8" s="201"/>
      <c r="D8" s="26">
        <v>16</v>
      </c>
      <c r="E8" s="198"/>
    </row>
    <row r="9" spans="1:5">
      <c r="A9" s="37"/>
      <c r="B9" s="3" t="s">
        <v>16</v>
      </c>
      <c r="C9" s="201"/>
      <c r="D9" s="26">
        <v>72</v>
      </c>
      <c r="E9" s="198"/>
    </row>
    <row r="10" spans="1:5">
      <c r="A10" s="37"/>
      <c r="B10" s="3" t="s">
        <v>24</v>
      </c>
      <c r="C10" s="201"/>
      <c r="D10" s="26">
        <v>66</v>
      </c>
      <c r="E10" s="198"/>
    </row>
    <row r="11" spans="1:5">
      <c r="A11" s="50"/>
      <c r="B11" s="8" t="s">
        <v>29</v>
      </c>
      <c r="C11" s="202"/>
      <c r="D11" s="27">
        <v>48</v>
      </c>
      <c r="E11" s="198"/>
    </row>
    <row r="12" spans="1:5">
      <c r="A12" s="36" t="s">
        <v>105</v>
      </c>
      <c r="B12" s="2" t="s">
        <v>62</v>
      </c>
      <c r="C12" s="203" t="s">
        <v>84</v>
      </c>
      <c r="D12" s="25">
        <v>56</v>
      </c>
      <c r="E12" s="198">
        <f>SUM(D12:D16)</f>
        <v>178</v>
      </c>
    </row>
    <row r="13" spans="1:5">
      <c r="A13" s="37"/>
      <c r="B13" s="3" t="s">
        <v>63</v>
      </c>
      <c r="C13" s="201"/>
      <c r="D13" s="26">
        <v>14</v>
      </c>
      <c r="E13" s="198"/>
    </row>
    <row r="14" spans="1:5">
      <c r="A14" s="37"/>
      <c r="B14" s="3" t="s">
        <v>64</v>
      </c>
      <c r="C14" s="201" t="s">
        <v>85</v>
      </c>
      <c r="D14" s="26">
        <v>36</v>
      </c>
      <c r="E14" s="198"/>
    </row>
    <row r="15" spans="1:5">
      <c r="A15" s="37"/>
      <c r="B15" s="3" t="s">
        <v>67</v>
      </c>
      <c r="C15" s="201"/>
      <c r="D15" s="26">
        <v>36</v>
      </c>
      <c r="E15" s="198"/>
    </row>
    <row r="16" spans="1:5">
      <c r="A16" s="50"/>
      <c r="B16" s="8" t="s">
        <v>68</v>
      </c>
      <c r="C16" s="202"/>
      <c r="D16" s="27">
        <v>36</v>
      </c>
      <c r="E16" s="198"/>
    </row>
    <row r="17" spans="1:5">
      <c r="A17" s="51" t="s">
        <v>106</v>
      </c>
      <c r="B17" s="9" t="s">
        <v>62</v>
      </c>
      <c r="C17" s="204" t="s">
        <v>86</v>
      </c>
      <c r="D17" s="28">
        <v>62</v>
      </c>
      <c r="E17" s="198">
        <f>SUM(D17:D21)</f>
        <v>158</v>
      </c>
    </row>
    <row r="18" spans="1:5">
      <c r="A18" s="37"/>
      <c r="B18" s="3" t="s">
        <v>63</v>
      </c>
      <c r="C18" s="201"/>
      <c r="D18" s="26">
        <v>12</v>
      </c>
      <c r="E18" s="198"/>
    </row>
    <row r="19" spans="1:5">
      <c r="A19" s="37"/>
      <c r="B19" s="3" t="s">
        <v>64</v>
      </c>
      <c r="C19" s="201" t="s">
        <v>87</v>
      </c>
      <c r="D19" s="26">
        <v>28</v>
      </c>
      <c r="E19" s="198"/>
    </row>
    <row r="20" spans="1:5">
      <c r="A20" s="37"/>
      <c r="B20" s="3" t="s">
        <v>67</v>
      </c>
      <c r="C20" s="201"/>
      <c r="D20" s="26">
        <v>28</v>
      </c>
      <c r="E20" s="198"/>
    </row>
    <row r="21" spans="1:5" ht="13.8" thickBot="1">
      <c r="A21" s="52"/>
      <c r="B21" s="40" t="s">
        <v>68</v>
      </c>
      <c r="C21" s="205"/>
      <c r="D21" s="53">
        <v>28</v>
      </c>
      <c r="E21" s="199"/>
    </row>
    <row r="23" spans="1:5">
      <c r="C23" t="s">
        <v>104</v>
      </c>
      <c r="D23" s="22">
        <f>SUM(D3:D22)</f>
        <v>655</v>
      </c>
      <c r="E23" s="22" t="str">
        <f>INT(SUM(E3:E22)/160) &amp; "人月"</f>
        <v>4人月</v>
      </c>
    </row>
  </sheetData>
  <mergeCells count="8">
    <mergeCell ref="E3:E11"/>
    <mergeCell ref="E12:E16"/>
    <mergeCell ref="E17:E21"/>
    <mergeCell ref="C3:C11"/>
    <mergeCell ref="C12:C13"/>
    <mergeCell ref="C14:C16"/>
    <mergeCell ref="C17:C18"/>
    <mergeCell ref="C19:C21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"/>
  <sheetViews>
    <sheetView topLeftCell="A67" workbookViewId="0">
      <selection activeCell="D89" sqref="D89"/>
    </sheetView>
  </sheetViews>
  <sheetFormatPr defaultColWidth="9" defaultRowHeight="12"/>
  <cols>
    <col min="1" max="1" width="11" style="20" customWidth="1"/>
    <col min="2" max="2" width="16.21875" style="1" bestFit="1" customWidth="1"/>
    <col min="3" max="3" width="5" style="1" hidden="1" customWidth="1"/>
    <col min="4" max="4" width="61.77734375" style="1" bestFit="1" customWidth="1"/>
    <col min="5" max="5" width="18.33203125" style="20" customWidth="1"/>
    <col min="6" max="6" width="17" style="20" bestFit="1" customWidth="1"/>
    <col min="7" max="16384" width="9" style="1"/>
  </cols>
  <sheetData>
    <row r="1" spans="1:6" ht="12.6" thickBot="1"/>
    <row r="2" spans="1:6" ht="14.4">
      <c r="A2" s="30" t="s">
        <v>45</v>
      </c>
      <c r="B2" s="31" t="s">
        <v>46</v>
      </c>
      <c r="C2" s="32" t="s">
        <v>43</v>
      </c>
      <c r="D2" s="32" t="s">
        <v>44</v>
      </c>
      <c r="E2" s="32" t="s">
        <v>59</v>
      </c>
      <c r="F2" s="33" t="s">
        <v>47</v>
      </c>
    </row>
    <row r="3" spans="1:6">
      <c r="A3" s="34" t="s">
        <v>48</v>
      </c>
      <c r="B3" s="10" t="s">
        <v>49</v>
      </c>
      <c r="C3" s="4" t="s">
        <v>0</v>
      </c>
      <c r="D3" s="3" t="s">
        <v>31</v>
      </c>
      <c r="E3" s="208" t="s">
        <v>71</v>
      </c>
      <c r="F3" s="41">
        <v>4</v>
      </c>
    </row>
    <row r="4" spans="1:6" ht="13.5" customHeight="1">
      <c r="A4" s="35"/>
      <c r="B4" s="11"/>
      <c r="C4" s="4" t="s">
        <v>1</v>
      </c>
      <c r="D4" s="3" t="s">
        <v>32</v>
      </c>
      <c r="E4" s="189"/>
      <c r="F4" s="41">
        <v>4</v>
      </c>
    </row>
    <row r="5" spans="1:6" ht="13.5" customHeight="1">
      <c r="A5" s="35"/>
      <c r="B5" s="12"/>
      <c r="C5" s="8" t="s">
        <v>3</v>
      </c>
      <c r="D5" s="8" t="s">
        <v>33</v>
      </c>
      <c r="E5" s="189"/>
      <c r="F5" s="42">
        <v>8</v>
      </c>
    </row>
    <row r="6" spans="1:6" ht="13.5" customHeight="1">
      <c r="A6" s="35"/>
      <c r="B6" s="13" t="s">
        <v>51</v>
      </c>
      <c r="C6" s="14" t="s">
        <v>0</v>
      </c>
      <c r="D6" s="14" t="s">
        <v>52</v>
      </c>
      <c r="E6" s="189"/>
      <c r="F6" s="43">
        <v>4</v>
      </c>
    </row>
    <row r="7" spans="1:6" ht="13.5" customHeight="1">
      <c r="A7" s="35"/>
      <c r="B7" s="12"/>
      <c r="C7" s="15" t="s">
        <v>1</v>
      </c>
      <c r="D7" s="15" t="s">
        <v>53</v>
      </c>
      <c r="E7" s="189"/>
      <c r="F7" s="42">
        <v>4</v>
      </c>
    </row>
    <row r="8" spans="1:6" ht="13.5" customHeight="1">
      <c r="A8" s="35"/>
      <c r="B8" s="13" t="s">
        <v>8</v>
      </c>
      <c r="C8" s="16" t="s">
        <v>0</v>
      </c>
      <c r="D8" s="17" t="s">
        <v>95</v>
      </c>
      <c r="E8" s="189"/>
      <c r="F8" s="43">
        <v>2</v>
      </c>
    </row>
    <row r="9" spans="1:6" ht="13.5" customHeight="1">
      <c r="A9" s="35"/>
      <c r="B9" s="11"/>
      <c r="C9" s="6" t="s">
        <v>1</v>
      </c>
      <c r="D9" s="4" t="s">
        <v>2</v>
      </c>
      <c r="E9" s="189"/>
      <c r="F9" s="41">
        <v>8</v>
      </c>
    </row>
    <row r="10" spans="1:6" ht="13.5" customHeight="1">
      <c r="A10" s="35"/>
      <c r="B10" s="11"/>
      <c r="C10" s="4" t="s">
        <v>3</v>
      </c>
      <c r="D10" s="5" t="s">
        <v>96</v>
      </c>
      <c r="E10" s="189"/>
      <c r="F10" s="41">
        <v>8</v>
      </c>
    </row>
    <row r="11" spans="1:6" ht="13.5" customHeight="1">
      <c r="A11" s="35"/>
      <c r="B11" s="11"/>
      <c r="C11" s="4" t="s">
        <v>4</v>
      </c>
      <c r="D11" s="4" t="s">
        <v>97</v>
      </c>
      <c r="E11" s="189"/>
      <c r="F11" s="41">
        <v>8</v>
      </c>
    </row>
    <row r="12" spans="1:6" ht="13.5" customHeight="1">
      <c r="A12" s="35"/>
      <c r="B12" s="11"/>
      <c r="C12" s="4" t="s">
        <v>5</v>
      </c>
      <c r="D12" s="4" t="s">
        <v>98</v>
      </c>
      <c r="E12" s="189"/>
      <c r="F12" s="41">
        <v>8</v>
      </c>
    </row>
    <row r="13" spans="1:6" ht="13.5" customHeight="1">
      <c r="A13" s="35"/>
      <c r="B13" s="12"/>
      <c r="C13" s="18" t="s">
        <v>6</v>
      </c>
      <c r="D13" s="18" t="s">
        <v>7</v>
      </c>
      <c r="E13" s="189"/>
      <c r="F13" s="42">
        <v>1</v>
      </c>
    </row>
    <row r="14" spans="1:6" ht="13.5" customHeight="1">
      <c r="A14" s="35"/>
      <c r="B14" s="13" t="s">
        <v>9</v>
      </c>
      <c r="C14" s="16" t="s">
        <v>0</v>
      </c>
      <c r="D14" s="17" t="s">
        <v>99</v>
      </c>
      <c r="E14" s="189"/>
      <c r="F14" s="43">
        <v>4</v>
      </c>
    </row>
    <row r="15" spans="1:6" ht="13.5" customHeight="1">
      <c r="A15" s="35"/>
      <c r="B15" s="11"/>
      <c r="C15" s="6" t="s">
        <v>1</v>
      </c>
      <c r="D15" s="4" t="s">
        <v>72</v>
      </c>
      <c r="E15" s="189"/>
      <c r="F15" s="41">
        <v>16</v>
      </c>
    </row>
    <row r="16" spans="1:6" ht="13.5" customHeight="1">
      <c r="A16" s="35"/>
      <c r="B16" s="11"/>
      <c r="C16" s="4" t="s">
        <v>3</v>
      </c>
      <c r="D16" s="5" t="s">
        <v>73</v>
      </c>
      <c r="E16" s="189"/>
      <c r="F16" s="41">
        <v>8</v>
      </c>
    </row>
    <row r="17" spans="1:6" ht="13.5" customHeight="1">
      <c r="A17" s="35"/>
      <c r="B17" s="12"/>
      <c r="C17" s="15" t="s">
        <v>4</v>
      </c>
      <c r="D17" s="15" t="s">
        <v>74</v>
      </c>
      <c r="E17" s="189"/>
      <c r="F17" s="42">
        <v>4</v>
      </c>
    </row>
    <row r="18" spans="1:6" ht="13.5" customHeight="1">
      <c r="A18" s="35"/>
      <c r="B18" s="13" t="s">
        <v>10</v>
      </c>
      <c r="C18" s="16" t="s">
        <v>0</v>
      </c>
      <c r="D18" s="17" t="s">
        <v>75</v>
      </c>
      <c r="E18" s="189"/>
      <c r="F18" s="43">
        <v>2</v>
      </c>
    </row>
    <row r="19" spans="1:6" ht="13.5" customHeight="1">
      <c r="A19" s="35"/>
      <c r="B19" s="11"/>
      <c r="C19" s="6" t="s">
        <v>11</v>
      </c>
      <c r="D19" s="4" t="s">
        <v>76</v>
      </c>
      <c r="E19" s="189"/>
      <c r="F19" s="41">
        <v>8</v>
      </c>
    </row>
    <row r="20" spans="1:6" ht="13.5" customHeight="1">
      <c r="A20" s="35"/>
      <c r="B20" s="11"/>
      <c r="C20" s="4" t="s">
        <v>3</v>
      </c>
      <c r="D20" s="5" t="s">
        <v>77</v>
      </c>
      <c r="E20" s="189"/>
      <c r="F20" s="41">
        <v>8</v>
      </c>
    </row>
    <row r="21" spans="1:6" ht="13.5" customHeight="1">
      <c r="A21" s="35"/>
      <c r="B21" s="12"/>
      <c r="C21" s="15" t="s">
        <v>4</v>
      </c>
      <c r="D21" s="15" t="s">
        <v>78</v>
      </c>
      <c r="E21" s="189"/>
      <c r="F21" s="42">
        <v>8</v>
      </c>
    </row>
    <row r="22" spans="1:6" ht="13.5" customHeight="1">
      <c r="A22" s="35"/>
      <c r="B22" s="13" t="s">
        <v>12</v>
      </c>
      <c r="C22" s="16" t="s">
        <v>13</v>
      </c>
      <c r="D22" s="17" t="s">
        <v>58</v>
      </c>
      <c r="E22" s="189"/>
      <c r="F22" s="43">
        <v>8</v>
      </c>
    </row>
    <row r="23" spans="1:6" ht="13.5" customHeight="1">
      <c r="A23" s="35"/>
      <c r="B23" s="12"/>
      <c r="C23" s="15" t="s">
        <v>14</v>
      </c>
      <c r="D23" s="19" t="s">
        <v>15</v>
      </c>
      <c r="E23" s="189"/>
      <c r="F23" s="42">
        <v>8</v>
      </c>
    </row>
    <row r="24" spans="1:6" ht="13.5" customHeight="1">
      <c r="A24" s="35"/>
      <c r="B24" s="13" t="s">
        <v>16</v>
      </c>
      <c r="C24" s="16" t="s">
        <v>0</v>
      </c>
      <c r="D24" s="17" t="s">
        <v>93</v>
      </c>
      <c r="E24" s="189"/>
      <c r="F24" s="43">
        <v>8</v>
      </c>
    </row>
    <row r="25" spans="1:6" ht="13.5" customHeight="1">
      <c r="A25" s="35"/>
      <c r="B25" s="11"/>
      <c r="C25" s="4" t="s">
        <v>3</v>
      </c>
      <c r="D25" s="5" t="s">
        <v>17</v>
      </c>
      <c r="E25" s="189"/>
      <c r="F25" s="41">
        <v>8</v>
      </c>
    </row>
    <row r="26" spans="1:6" ht="13.5" customHeight="1">
      <c r="A26" s="35"/>
      <c r="B26" s="11"/>
      <c r="C26" s="4" t="s">
        <v>18</v>
      </c>
      <c r="D26" s="5" t="s">
        <v>19</v>
      </c>
      <c r="E26" s="189"/>
      <c r="F26" s="41">
        <v>16</v>
      </c>
    </row>
    <row r="27" spans="1:6" ht="13.5" customHeight="1">
      <c r="A27" s="35"/>
      <c r="B27" s="11"/>
      <c r="C27" s="4" t="s">
        <v>5</v>
      </c>
      <c r="D27" s="5" t="s">
        <v>100</v>
      </c>
      <c r="E27" s="189"/>
      <c r="F27" s="41">
        <v>16</v>
      </c>
    </row>
    <row r="28" spans="1:6" ht="13.5" customHeight="1">
      <c r="A28" s="35"/>
      <c r="B28" s="11"/>
      <c r="C28" s="4" t="s">
        <v>20</v>
      </c>
      <c r="D28" s="5" t="s">
        <v>21</v>
      </c>
      <c r="E28" s="189"/>
      <c r="F28" s="41">
        <v>16</v>
      </c>
    </row>
    <row r="29" spans="1:6" ht="13.5" customHeight="1">
      <c r="A29" s="35"/>
      <c r="B29" s="12"/>
      <c r="C29" s="15" t="s">
        <v>22</v>
      </c>
      <c r="D29" s="15" t="s">
        <v>23</v>
      </c>
      <c r="E29" s="189"/>
      <c r="F29" s="42">
        <v>8</v>
      </c>
    </row>
    <row r="30" spans="1:6" ht="13.5" customHeight="1">
      <c r="A30" s="35"/>
      <c r="B30" s="13" t="s">
        <v>24</v>
      </c>
      <c r="C30" s="16" t="s">
        <v>0</v>
      </c>
      <c r="D30" s="17" t="s">
        <v>25</v>
      </c>
      <c r="E30" s="189"/>
      <c r="F30" s="43">
        <v>4</v>
      </c>
    </row>
    <row r="31" spans="1:6" ht="13.5" customHeight="1">
      <c r="A31" s="35"/>
      <c r="B31" s="11"/>
      <c r="C31" s="6" t="s">
        <v>1</v>
      </c>
      <c r="D31" s="4" t="s">
        <v>26</v>
      </c>
      <c r="E31" s="189"/>
      <c r="F31" s="41">
        <v>4</v>
      </c>
    </row>
    <row r="32" spans="1:6" ht="13.5" customHeight="1">
      <c r="A32" s="35"/>
      <c r="B32" s="11"/>
      <c r="C32" s="4" t="s">
        <v>3</v>
      </c>
      <c r="D32" s="5" t="s">
        <v>27</v>
      </c>
      <c r="E32" s="189"/>
      <c r="F32" s="41">
        <v>8</v>
      </c>
    </row>
    <row r="33" spans="1:6" ht="13.5" customHeight="1">
      <c r="A33" s="35"/>
      <c r="B33" s="11"/>
      <c r="C33" s="4" t="s">
        <v>4</v>
      </c>
      <c r="D33" s="5" t="s">
        <v>94</v>
      </c>
      <c r="E33" s="189"/>
      <c r="F33" s="41">
        <v>2</v>
      </c>
    </row>
    <row r="34" spans="1:6" ht="13.5" customHeight="1">
      <c r="A34" s="35"/>
      <c r="B34" s="11"/>
      <c r="C34" s="7" t="s">
        <v>34</v>
      </c>
      <c r="D34" s="7" t="s">
        <v>35</v>
      </c>
      <c r="E34" s="189"/>
      <c r="F34" s="41">
        <v>16</v>
      </c>
    </row>
    <row r="35" spans="1:6" ht="13.5" customHeight="1">
      <c r="A35" s="35"/>
      <c r="B35" s="11"/>
      <c r="C35" s="7" t="s">
        <v>6</v>
      </c>
      <c r="D35" s="7" t="s">
        <v>36</v>
      </c>
      <c r="E35" s="189"/>
      <c r="F35" s="41">
        <v>12</v>
      </c>
    </row>
    <row r="36" spans="1:6" ht="13.5" customHeight="1">
      <c r="A36" s="35"/>
      <c r="B36" s="11"/>
      <c r="C36" s="4" t="s">
        <v>22</v>
      </c>
      <c r="D36" s="5" t="s">
        <v>28</v>
      </c>
      <c r="E36" s="189"/>
      <c r="F36" s="41">
        <v>12</v>
      </c>
    </row>
    <row r="37" spans="1:6" ht="13.5" customHeight="1">
      <c r="A37" s="35"/>
      <c r="B37" s="12"/>
      <c r="C37" s="15" t="s">
        <v>37</v>
      </c>
      <c r="D37" s="19" t="s">
        <v>38</v>
      </c>
      <c r="E37" s="207"/>
      <c r="F37" s="42">
        <v>8</v>
      </c>
    </row>
    <row r="38" spans="1:6">
      <c r="A38" s="35"/>
      <c r="B38" s="13" t="s">
        <v>29</v>
      </c>
      <c r="C38" s="2" t="s">
        <v>0</v>
      </c>
      <c r="D38" s="16" t="s">
        <v>54</v>
      </c>
      <c r="E38" s="209" t="s">
        <v>101</v>
      </c>
      <c r="F38" s="43">
        <v>8</v>
      </c>
    </row>
    <row r="39" spans="1:6" ht="13.5" customHeight="1">
      <c r="A39" s="35"/>
      <c r="B39" s="11"/>
      <c r="C39" s="3" t="s">
        <v>39</v>
      </c>
      <c r="D39" s="6" t="s">
        <v>55</v>
      </c>
      <c r="E39" s="210"/>
      <c r="F39" s="41">
        <v>8</v>
      </c>
    </row>
    <row r="40" spans="1:6">
      <c r="A40" s="35"/>
      <c r="B40" s="11"/>
      <c r="C40" s="3" t="s">
        <v>3</v>
      </c>
      <c r="D40" s="4" t="s">
        <v>30</v>
      </c>
      <c r="E40" s="21" t="s">
        <v>61</v>
      </c>
      <c r="F40" s="41">
        <v>8</v>
      </c>
    </row>
    <row r="41" spans="1:6">
      <c r="A41" s="35"/>
      <c r="B41" s="11"/>
      <c r="C41" s="3" t="s">
        <v>40</v>
      </c>
      <c r="D41" s="3" t="s">
        <v>60</v>
      </c>
      <c r="E41" s="211" t="s">
        <v>83</v>
      </c>
      <c r="F41" s="41">
        <v>8</v>
      </c>
    </row>
    <row r="42" spans="1:6" ht="13.5" customHeight="1">
      <c r="A42" s="35"/>
      <c r="B42" s="11"/>
      <c r="C42" s="10" t="s">
        <v>41</v>
      </c>
      <c r="D42" s="10" t="s">
        <v>42</v>
      </c>
      <c r="E42" s="207"/>
      <c r="F42" s="44">
        <v>16</v>
      </c>
    </row>
    <row r="43" spans="1:6">
      <c r="A43" s="36" t="s">
        <v>56</v>
      </c>
      <c r="B43" s="2" t="s">
        <v>62</v>
      </c>
      <c r="C43" s="2"/>
      <c r="D43" s="2" t="s">
        <v>50</v>
      </c>
      <c r="E43" s="206" t="s">
        <v>65</v>
      </c>
      <c r="F43" s="43">
        <v>8</v>
      </c>
    </row>
    <row r="44" spans="1:6" ht="13.5" customHeight="1">
      <c r="A44" s="37"/>
      <c r="B44" s="3"/>
      <c r="C44" s="3"/>
      <c r="D44" s="3" t="s">
        <v>8</v>
      </c>
      <c r="E44" s="189"/>
      <c r="F44" s="41">
        <v>4</v>
      </c>
    </row>
    <row r="45" spans="1:6" ht="13.5" customHeight="1">
      <c r="A45" s="37"/>
      <c r="B45" s="3"/>
      <c r="C45" s="3"/>
      <c r="D45" s="3" t="s">
        <v>9</v>
      </c>
      <c r="E45" s="189"/>
      <c r="F45" s="41">
        <v>8</v>
      </c>
    </row>
    <row r="46" spans="1:6" ht="13.5" customHeight="1">
      <c r="A46" s="37"/>
      <c r="B46" s="3"/>
      <c r="C46" s="3"/>
      <c r="D46" s="3" t="s">
        <v>10</v>
      </c>
      <c r="E46" s="189"/>
      <c r="F46" s="41">
        <v>4</v>
      </c>
    </row>
    <row r="47" spans="1:6" ht="13.5" customHeight="1">
      <c r="A47" s="37"/>
      <c r="B47" s="3"/>
      <c r="C47" s="3"/>
      <c r="D47" s="3" t="s">
        <v>12</v>
      </c>
      <c r="E47" s="189"/>
      <c r="F47" s="41">
        <v>8</v>
      </c>
    </row>
    <row r="48" spans="1:6" ht="13.5" customHeight="1">
      <c r="A48" s="37"/>
      <c r="B48" s="3"/>
      <c r="C48" s="3"/>
      <c r="D48" s="3" t="s">
        <v>16</v>
      </c>
      <c r="E48" s="189"/>
      <c r="F48" s="41">
        <v>8</v>
      </c>
    </row>
    <row r="49" spans="1:6" ht="13.5" customHeight="1">
      <c r="A49" s="37"/>
      <c r="B49" s="3"/>
      <c r="C49" s="3"/>
      <c r="D49" s="3" t="s">
        <v>24</v>
      </c>
      <c r="E49" s="189"/>
      <c r="F49" s="41">
        <v>8</v>
      </c>
    </row>
    <row r="50" spans="1:6" ht="13.5" customHeight="1">
      <c r="A50" s="37"/>
      <c r="B50" s="10"/>
      <c r="C50" s="10"/>
      <c r="D50" s="10" t="s">
        <v>29</v>
      </c>
      <c r="E50" s="189"/>
      <c r="F50" s="44">
        <v>8</v>
      </c>
    </row>
    <row r="51" spans="1:6">
      <c r="A51" s="37"/>
      <c r="B51" s="2" t="s">
        <v>63</v>
      </c>
      <c r="C51" s="2"/>
      <c r="D51" s="2" t="s">
        <v>50</v>
      </c>
      <c r="E51" s="189"/>
      <c r="F51" s="43">
        <v>1</v>
      </c>
    </row>
    <row r="52" spans="1:6" ht="13.5" customHeight="1">
      <c r="A52" s="37"/>
      <c r="B52" s="3"/>
      <c r="C52" s="3"/>
      <c r="D52" s="3" t="s">
        <v>8</v>
      </c>
      <c r="E52" s="189"/>
      <c r="F52" s="41">
        <v>1</v>
      </c>
    </row>
    <row r="53" spans="1:6" ht="13.5" customHeight="1">
      <c r="A53" s="37"/>
      <c r="B53" s="3"/>
      <c r="C53" s="3"/>
      <c r="D53" s="3" t="s">
        <v>9</v>
      </c>
      <c r="E53" s="189"/>
      <c r="F53" s="41">
        <v>2</v>
      </c>
    </row>
    <row r="54" spans="1:6" ht="13.5" customHeight="1">
      <c r="A54" s="37"/>
      <c r="B54" s="3"/>
      <c r="C54" s="3"/>
      <c r="D54" s="3" t="s">
        <v>10</v>
      </c>
      <c r="E54" s="189"/>
      <c r="F54" s="41">
        <v>2</v>
      </c>
    </row>
    <row r="55" spans="1:6" ht="13.5" customHeight="1">
      <c r="A55" s="37"/>
      <c r="B55" s="3"/>
      <c r="C55" s="3"/>
      <c r="D55" s="3" t="s">
        <v>12</v>
      </c>
      <c r="E55" s="189"/>
      <c r="F55" s="41">
        <v>2</v>
      </c>
    </row>
    <row r="56" spans="1:6" ht="13.5" customHeight="1">
      <c r="A56" s="37"/>
      <c r="B56" s="3"/>
      <c r="C56" s="3"/>
      <c r="D56" s="3" t="s">
        <v>16</v>
      </c>
      <c r="E56" s="189"/>
      <c r="F56" s="41">
        <v>2</v>
      </c>
    </row>
    <row r="57" spans="1:6" ht="13.5" customHeight="1">
      <c r="A57" s="37"/>
      <c r="B57" s="3"/>
      <c r="C57" s="3"/>
      <c r="D57" s="3" t="s">
        <v>24</v>
      </c>
      <c r="E57" s="189"/>
      <c r="F57" s="41">
        <v>2</v>
      </c>
    </row>
    <row r="58" spans="1:6" ht="13.5" customHeight="1">
      <c r="A58" s="37"/>
      <c r="B58" s="8"/>
      <c r="C58" s="8"/>
      <c r="D58" s="8" t="s">
        <v>29</v>
      </c>
      <c r="E58" s="207"/>
      <c r="F58" s="42">
        <v>2</v>
      </c>
    </row>
    <row r="59" spans="1:6">
      <c r="A59" s="37"/>
      <c r="B59" s="2" t="s">
        <v>64</v>
      </c>
      <c r="C59" s="2"/>
      <c r="D59" s="2" t="s">
        <v>50</v>
      </c>
      <c r="E59" s="206" t="s">
        <v>66</v>
      </c>
      <c r="F59" s="43">
        <v>2</v>
      </c>
    </row>
    <row r="60" spans="1:6" ht="13.5" customHeight="1">
      <c r="A60" s="37"/>
      <c r="B60" s="3"/>
      <c r="C60" s="3"/>
      <c r="D60" s="3" t="s">
        <v>8</v>
      </c>
      <c r="E60" s="189"/>
      <c r="F60" s="41">
        <v>2</v>
      </c>
    </row>
    <row r="61" spans="1:6" ht="13.5" customHeight="1">
      <c r="A61" s="37"/>
      <c r="B61" s="3"/>
      <c r="C61" s="3"/>
      <c r="D61" s="3" t="s">
        <v>9</v>
      </c>
      <c r="E61" s="189"/>
      <c r="F61" s="41">
        <v>4</v>
      </c>
    </row>
    <row r="62" spans="1:6" ht="13.5" customHeight="1">
      <c r="A62" s="37"/>
      <c r="B62" s="3"/>
      <c r="C62" s="3"/>
      <c r="D62" s="3" t="s">
        <v>10</v>
      </c>
      <c r="E62" s="189"/>
      <c r="F62" s="41">
        <v>4</v>
      </c>
    </row>
    <row r="63" spans="1:6" ht="13.5" customHeight="1">
      <c r="A63" s="37"/>
      <c r="B63" s="3"/>
      <c r="C63" s="3"/>
      <c r="D63" s="3" t="s">
        <v>12</v>
      </c>
      <c r="E63" s="189"/>
      <c r="F63" s="41">
        <v>4</v>
      </c>
    </row>
    <row r="64" spans="1:6" ht="13.5" customHeight="1">
      <c r="A64" s="37"/>
      <c r="B64" s="3"/>
      <c r="C64" s="3"/>
      <c r="D64" s="3" t="s">
        <v>16</v>
      </c>
      <c r="E64" s="189"/>
      <c r="F64" s="41">
        <v>8</v>
      </c>
    </row>
    <row r="65" spans="1:6" ht="13.5" customHeight="1">
      <c r="A65" s="37"/>
      <c r="B65" s="3"/>
      <c r="C65" s="3"/>
      <c r="D65" s="3" t="s">
        <v>24</v>
      </c>
      <c r="E65" s="189"/>
      <c r="F65" s="41">
        <v>8</v>
      </c>
    </row>
    <row r="66" spans="1:6" ht="13.5" customHeight="1">
      <c r="A66" s="37"/>
      <c r="B66" s="8"/>
      <c r="C66" s="8"/>
      <c r="D66" s="8" t="s">
        <v>29</v>
      </c>
      <c r="E66" s="189"/>
      <c r="F66" s="42">
        <v>4</v>
      </c>
    </row>
    <row r="67" spans="1:6" ht="13.5" customHeight="1">
      <c r="A67" s="37"/>
      <c r="B67" s="2" t="s">
        <v>67</v>
      </c>
      <c r="C67" s="2"/>
      <c r="D67" s="2" t="s">
        <v>50</v>
      </c>
      <c r="E67" s="189"/>
      <c r="F67" s="43">
        <v>2</v>
      </c>
    </row>
    <row r="68" spans="1:6" ht="13.5" customHeight="1">
      <c r="A68" s="37"/>
      <c r="B68" s="3"/>
      <c r="C68" s="3"/>
      <c r="D68" s="3" t="s">
        <v>8</v>
      </c>
      <c r="E68" s="189"/>
      <c r="F68" s="41">
        <v>2</v>
      </c>
    </row>
    <row r="69" spans="1:6" ht="13.5" customHeight="1">
      <c r="A69" s="37"/>
      <c r="B69" s="3"/>
      <c r="C69" s="3"/>
      <c r="D69" s="3" t="s">
        <v>9</v>
      </c>
      <c r="E69" s="189"/>
      <c r="F69" s="41">
        <v>4</v>
      </c>
    </row>
    <row r="70" spans="1:6" ht="13.5" customHeight="1">
      <c r="A70" s="37"/>
      <c r="B70" s="3"/>
      <c r="C70" s="3"/>
      <c r="D70" s="3" t="s">
        <v>10</v>
      </c>
      <c r="E70" s="189"/>
      <c r="F70" s="41">
        <v>4</v>
      </c>
    </row>
    <row r="71" spans="1:6" ht="13.5" customHeight="1">
      <c r="A71" s="37"/>
      <c r="B71" s="3"/>
      <c r="C71" s="3"/>
      <c r="D71" s="3" t="s">
        <v>12</v>
      </c>
      <c r="E71" s="189"/>
      <c r="F71" s="41">
        <v>4</v>
      </c>
    </row>
    <row r="72" spans="1:6" ht="13.5" customHeight="1">
      <c r="A72" s="37"/>
      <c r="B72" s="3"/>
      <c r="C72" s="3"/>
      <c r="D72" s="3" t="s">
        <v>16</v>
      </c>
      <c r="E72" s="189"/>
      <c r="F72" s="41">
        <v>8</v>
      </c>
    </row>
    <row r="73" spans="1:6" ht="13.5" customHeight="1">
      <c r="A73" s="37"/>
      <c r="B73" s="3"/>
      <c r="C73" s="3"/>
      <c r="D73" s="3" t="s">
        <v>24</v>
      </c>
      <c r="E73" s="189"/>
      <c r="F73" s="41">
        <v>8</v>
      </c>
    </row>
    <row r="74" spans="1:6" ht="13.5" customHeight="1">
      <c r="A74" s="37"/>
      <c r="B74" s="8"/>
      <c r="C74" s="8"/>
      <c r="D74" s="8" t="s">
        <v>29</v>
      </c>
      <c r="E74" s="189"/>
      <c r="F74" s="42">
        <v>4</v>
      </c>
    </row>
    <row r="75" spans="1:6" ht="13.5" customHeight="1">
      <c r="A75" s="37"/>
      <c r="B75" s="9" t="s">
        <v>68</v>
      </c>
      <c r="C75" s="9"/>
      <c r="D75" s="9" t="s">
        <v>50</v>
      </c>
      <c r="E75" s="189"/>
      <c r="F75" s="43">
        <v>2</v>
      </c>
    </row>
    <row r="76" spans="1:6" ht="13.5" customHeight="1">
      <c r="A76" s="37"/>
      <c r="B76" s="3"/>
      <c r="C76" s="3"/>
      <c r="D76" s="3" t="s">
        <v>8</v>
      </c>
      <c r="E76" s="189"/>
      <c r="F76" s="41">
        <v>2</v>
      </c>
    </row>
    <row r="77" spans="1:6" ht="13.5" customHeight="1">
      <c r="A77" s="37"/>
      <c r="B77" s="3"/>
      <c r="C77" s="3"/>
      <c r="D77" s="3" t="s">
        <v>9</v>
      </c>
      <c r="E77" s="189"/>
      <c r="F77" s="41">
        <v>4</v>
      </c>
    </row>
    <row r="78" spans="1:6" ht="13.5" customHeight="1">
      <c r="A78" s="37"/>
      <c r="B78" s="3"/>
      <c r="C78" s="3"/>
      <c r="D78" s="3" t="s">
        <v>10</v>
      </c>
      <c r="E78" s="189"/>
      <c r="F78" s="41">
        <v>4</v>
      </c>
    </row>
    <row r="79" spans="1:6" ht="13.5" customHeight="1">
      <c r="A79" s="37"/>
      <c r="B79" s="3"/>
      <c r="C79" s="3"/>
      <c r="D79" s="3" t="s">
        <v>12</v>
      </c>
      <c r="E79" s="189"/>
      <c r="F79" s="41">
        <v>4</v>
      </c>
    </row>
    <row r="80" spans="1:6" ht="13.5" customHeight="1">
      <c r="A80" s="37"/>
      <c r="B80" s="3"/>
      <c r="C80" s="3"/>
      <c r="D80" s="3" t="s">
        <v>82</v>
      </c>
      <c r="E80" s="189"/>
      <c r="F80" s="41">
        <v>8</v>
      </c>
    </row>
    <row r="81" spans="1:6" ht="13.5" customHeight="1">
      <c r="A81" s="37"/>
      <c r="B81" s="3"/>
      <c r="C81" s="3"/>
      <c r="D81" s="3" t="s">
        <v>24</v>
      </c>
      <c r="E81" s="189"/>
      <c r="F81" s="41">
        <v>8</v>
      </c>
    </row>
    <row r="82" spans="1:6" ht="13.5" customHeight="1">
      <c r="A82" s="37"/>
      <c r="B82" s="3"/>
      <c r="C82" s="3"/>
      <c r="D82" s="8" t="s">
        <v>79</v>
      </c>
      <c r="E82" s="207"/>
      <c r="F82" s="42">
        <v>4</v>
      </c>
    </row>
    <row r="83" spans="1:6">
      <c r="A83" s="36" t="s">
        <v>57</v>
      </c>
      <c r="B83" s="2" t="s">
        <v>62</v>
      </c>
      <c r="C83" s="2"/>
      <c r="D83" s="2" t="s">
        <v>79</v>
      </c>
      <c r="E83" s="206" t="s">
        <v>69</v>
      </c>
      <c r="F83" s="43">
        <v>8</v>
      </c>
    </row>
    <row r="84" spans="1:6">
      <c r="A84" s="37"/>
      <c r="B84" s="3"/>
      <c r="C84" s="3"/>
      <c r="D84" s="3" t="s">
        <v>88</v>
      </c>
      <c r="E84" s="189"/>
      <c r="F84" s="41">
        <v>6</v>
      </c>
    </row>
    <row r="85" spans="1:6">
      <c r="A85" s="37"/>
      <c r="B85" s="3"/>
      <c r="C85" s="3"/>
      <c r="D85" s="29" t="s">
        <v>90</v>
      </c>
      <c r="E85" s="189"/>
      <c r="F85" s="41">
        <v>8</v>
      </c>
    </row>
    <row r="86" spans="1:6">
      <c r="A86" s="37"/>
      <c r="B86" s="3"/>
      <c r="C86" s="3"/>
      <c r="D86" s="29" t="s">
        <v>91</v>
      </c>
      <c r="E86" s="189"/>
      <c r="F86" s="41">
        <v>8</v>
      </c>
    </row>
    <row r="87" spans="1:6">
      <c r="A87" s="37"/>
      <c r="B87" s="3"/>
      <c r="C87" s="3"/>
      <c r="D87" s="29" t="s">
        <v>92</v>
      </c>
      <c r="E87" s="189"/>
      <c r="F87" s="41">
        <v>8</v>
      </c>
    </row>
    <row r="88" spans="1:6">
      <c r="A88" s="37"/>
      <c r="B88" s="3"/>
      <c r="C88" s="3"/>
      <c r="D88" s="3" t="s">
        <v>80</v>
      </c>
      <c r="E88" s="189"/>
      <c r="F88" s="41">
        <v>8</v>
      </c>
    </row>
    <row r="89" spans="1:6">
      <c r="A89" s="37"/>
      <c r="B89" s="3"/>
      <c r="C89" s="3"/>
      <c r="D89" s="3" t="s">
        <v>81</v>
      </c>
      <c r="E89" s="189"/>
      <c r="F89" s="41">
        <v>8</v>
      </c>
    </row>
    <row r="90" spans="1:6">
      <c r="A90" s="37"/>
      <c r="B90" s="10"/>
      <c r="C90" s="10"/>
      <c r="D90" s="3" t="s">
        <v>89</v>
      </c>
      <c r="E90" s="189"/>
      <c r="F90" s="44">
        <v>8</v>
      </c>
    </row>
    <row r="91" spans="1:6">
      <c r="A91" s="37"/>
      <c r="B91" s="2" t="s">
        <v>63</v>
      </c>
      <c r="C91" s="2"/>
      <c r="D91" s="2" t="s">
        <v>79</v>
      </c>
      <c r="E91" s="189"/>
      <c r="F91" s="43">
        <v>1</v>
      </c>
    </row>
    <row r="92" spans="1:6">
      <c r="A92" s="37"/>
      <c r="B92" s="3"/>
      <c r="C92" s="3"/>
      <c r="D92" s="3" t="s">
        <v>88</v>
      </c>
      <c r="E92" s="189"/>
      <c r="F92" s="41">
        <v>1</v>
      </c>
    </row>
    <row r="93" spans="1:6">
      <c r="A93" s="37"/>
      <c r="B93" s="3"/>
      <c r="C93" s="3"/>
      <c r="D93" s="29" t="s">
        <v>90</v>
      </c>
      <c r="E93" s="189"/>
      <c r="F93" s="41">
        <v>2</v>
      </c>
    </row>
    <row r="94" spans="1:6">
      <c r="A94" s="37"/>
      <c r="B94" s="3"/>
      <c r="C94" s="3"/>
      <c r="D94" s="29" t="s">
        <v>91</v>
      </c>
      <c r="E94" s="189"/>
      <c r="F94" s="41">
        <v>2</v>
      </c>
    </row>
    <row r="95" spans="1:6">
      <c r="A95" s="37"/>
      <c r="B95" s="3"/>
      <c r="C95" s="3"/>
      <c r="D95" s="29" t="s">
        <v>92</v>
      </c>
      <c r="E95" s="189"/>
      <c r="F95" s="41">
        <v>2</v>
      </c>
    </row>
    <row r="96" spans="1:6">
      <c r="A96" s="37"/>
      <c r="B96" s="3"/>
      <c r="C96" s="3"/>
      <c r="D96" s="3" t="s">
        <v>80</v>
      </c>
      <c r="E96" s="189"/>
      <c r="F96" s="41">
        <v>2</v>
      </c>
    </row>
    <row r="97" spans="1:6">
      <c r="A97" s="37"/>
      <c r="B97" s="3"/>
      <c r="C97" s="3"/>
      <c r="D97" s="3" t="s">
        <v>81</v>
      </c>
      <c r="E97" s="189"/>
      <c r="F97" s="41">
        <v>2</v>
      </c>
    </row>
    <row r="98" spans="1:6">
      <c r="A98" s="37"/>
      <c r="B98" s="8"/>
      <c r="C98" s="8"/>
      <c r="D98" s="3" t="s">
        <v>89</v>
      </c>
      <c r="E98" s="207"/>
      <c r="F98" s="42">
        <v>2</v>
      </c>
    </row>
    <row r="99" spans="1:6">
      <c r="A99" s="38"/>
      <c r="B99" s="2" t="s">
        <v>64</v>
      </c>
      <c r="C99" s="2"/>
      <c r="D99" s="2" t="s">
        <v>79</v>
      </c>
      <c r="E99" s="206" t="s">
        <v>70</v>
      </c>
      <c r="F99" s="43">
        <v>2</v>
      </c>
    </row>
    <row r="100" spans="1:6">
      <c r="A100" s="38"/>
      <c r="B100" s="3"/>
      <c r="C100" s="3"/>
      <c r="D100" s="3" t="s">
        <v>88</v>
      </c>
      <c r="E100" s="189"/>
      <c r="F100" s="41">
        <v>2</v>
      </c>
    </row>
    <row r="101" spans="1:6">
      <c r="A101" s="38"/>
      <c r="B101" s="3"/>
      <c r="C101" s="3"/>
      <c r="D101" s="29" t="s">
        <v>90</v>
      </c>
      <c r="E101" s="189"/>
      <c r="F101" s="41">
        <v>2</v>
      </c>
    </row>
    <row r="102" spans="1:6">
      <c r="A102" s="38"/>
      <c r="B102" s="3"/>
      <c r="C102" s="3"/>
      <c r="D102" s="29" t="s">
        <v>91</v>
      </c>
      <c r="E102" s="189"/>
      <c r="F102" s="41">
        <v>2</v>
      </c>
    </row>
    <row r="103" spans="1:6" ht="12.75" customHeight="1">
      <c r="A103" s="38"/>
      <c r="B103" s="3"/>
      <c r="C103" s="3"/>
      <c r="D103" s="29" t="s">
        <v>92</v>
      </c>
      <c r="E103" s="189"/>
      <c r="F103" s="41">
        <v>8</v>
      </c>
    </row>
    <row r="104" spans="1:6">
      <c r="A104" s="38"/>
      <c r="B104" s="3"/>
      <c r="C104" s="3"/>
      <c r="D104" s="3" t="s">
        <v>80</v>
      </c>
      <c r="E104" s="189"/>
      <c r="F104" s="41">
        <v>4</v>
      </c>
    </row>
    <row r="105" spans="1:6">
      <c r="A105" s="38"/>
      <c r="B105" s="3"/>
      <c r="C105" s="3"/>
      <c r="D105" s="3" t="s">
        <v>81</v>
      </c>
      <c r="E105" s="189"/>
      <c r="F105" s="41">
        <v>4</v>
      </c>
    </row>
    <row r="106" spans="1:6">
      <c r="A106" s="38"/>
      <c r="B106" s="8"/>
      <c r="C106" s="10"/>
      <c r="D106" s="3" t="s">
        <v>89</v>
      </c>
      <c r="E106" s="189"/>
      <c r="F106" s="44">
        <v>4</v>
      </c>
    </row>
    <row r="107" spans="1:6">
      <c r="A107" s="38"/>
      <c r="B107" s="2" t="s">
        <v>67</v>
      </c>
      <c r="C107" s="2"/>
      <c r="D107" s="2" t="s">
        <v>79</v>
      </c>
      <c r="E107" s="189"/>
      <c r="F107" s="43">
        <v>2</v>
      </c>
    </row>
    <row r="108" spans="1:6">
      <c r="A108" s="38"/>
      <c r="B108" s="3"/>
      <c r="C108" s="3"/>
      <c r="D108" s="3" t="s">
        <v>88</v>
      </c>
      <c r="E108" s="189"/>
      <c r="F108" s="41">
        <v>2</v>
      </c>
    </row>
    <row r="109" spans="1:6">
      <c r="A109" s="38"/>
      <c r="B109" s="3"/>
      <c r="C109" s="3"/>
      <c r="D109" s="29" t="s">
        <v>90</v>
      </c>
      <c r="E109" s="189"/>
      <c r="F109" s="41">
        <v>2</v>
      </c>
    </row>
    <row r="110" spans="1:6">
      <c r="A110" s="38"/>
      <c r="B110" s="3"/>
      <c r="C110" s="3"/>
      <c r="D110" s="29" t="s">
        <v>91</v>
      </c>
      <c r="E110" s="189"/>
      <c r="F110" s="41">
        <v>2</v>
      </c>
    </row>
    <row r="111" spans="1:6">
      <c r="A111" s="38"/>
      <c r="B111" s="3"/>
      <c r="C111" s="3"/>
      <c r="D111" s="29" t="s">
        <v>92</v>
      </c>
      <c r="E111" s="189"/>
      <c r="F111" s="41">
        <v>8</v>
      </c>
    </row>
    <row r="112" spans="1:6">
      <c r="A112" s="38"/>
      <c r="B112" s="3"/>
      <c r="C112" s="3"/>
      <c r="D112" s="3" t="s">
        <v>80</v>
      </c>
      <c r="E112" s="189"/>
      <c r="F112" s="41">
        <v>4</v>
      </c>
    </row>
    <row r="113" spans="1:6">
      <c r="A113" s="38"/>
      <c r="B113" s="3"/>
      <c r="C113" s="3"/>
      <c r="D113" s="3" t="s">
        <v>81</v>
      </c>
      <c r="E113" s="189"/>
      <c r="F113" s="41">
        <v>4</v>
      </c>
    </row>
    <row r="114" spans="1:6">
      <c r="A114" s="38"/>
      <c r="B114" s="8"/>
      <c r="C114" s="8"/>
      <c r="D114" s="3" t="s">
        <v>89</v>
      </c>
      <c r="E114" s="189"/>
      <c r="F114" s="44">
        <v>4</v>
      </c>
    </row>
    <row r="115" spans="1:6">
      <c r="A115" s="38"/>
      <c r="B115" s="9" t="s">
        <v>68</v>
      </c>
      <c r="C115" s="2"/>
      <c r="D115" s="2" t="s">
        <v>79</v>
      </c>
      <c r="E115" s="189"/>
      <c r="F115" s="43">
        <v>2</v>
      </c>
    </row>
    <row r="116" spans="1:6">
      <c r="A116" s="38"/>
      <c r="B116" s="3"/>
      <c r="C116" s="3"/>
      <c r="D116" s="3" t="s">
        <v>88</v>
      </c>
      <c r="E116" s="189"/>
      <c r="F116" s="41">
        <v>2</v>
      </c>
    </row>
    <row r="117" spans="1:6">
      <c r="A117" s="38"/>
      <c r="B117" s="3"/>
      <c r="C117" s="3"/>
      <c r="D117" s="29" t="s">
        <v>90</v>
      </c>
      <c r="E117" s="189"/>
      <c r="F117" s="41">
        <v>2</v>
      </c>
    </row>
    <row r="118" spans="1:6">
      <c r="A118" s="38"/>
      <c r="B118" s="3"/>
      <c r="C118" s="3"/>
      <c r="D118" s="29" t="s">
        <v>91</v>
      </c>
      <c r="E118" s="189"/>
      <c r="F118" s="41">
        <v>2</v>
      </c>
    </row>
    <row r="119" spans="1:6">
      <c r="A119" s="38"/>
      <c r="B119" s="3"/>
      <c r="C119" s="3"/>
      <c r="D119" s="29" t="s">
        <v>92</v>
      </c>
      <c r="E119" s="189"/>
      <c r="F119" s="41">
        <v>8</v>
      </c>
    </row>
    <row r="120" spans="1:6">
      <c r="A120" s="38"/>
      <c r="B120" s="3"/>
      <c r="C120" s="3"/>
      <c r="D120" s="3" t="s">
        <v>80</v>
      </c>
      <c r="E120" s="189"/>
      <c r="F120" s="41">
        <v>4</v>
      </c>
    </row>
    <row r="121" spans="1:6">
      <c r="A121" s="38"/>
      <c r="B121" s="3"/>
      <c r="C121" s="3"/>
      <c r="D121" s="3" t="s">
        <v>81</v>
      </c>
      <c r="E121" s="189"/>
      <c r="F121" s="41">
        <v>4</v>
      </c>
    </row>
    <row r="122" spans="1:6" ht="12.6" thickBot="1">
      <c r="A122" s="39"/>
      <c r="B122" s="40"/>
      <c r="C122" s="40"/>
      <c r="D122" s="40" t="s">
        <v>89</v>
      </c>
      <c r="E122" s="191"/>
      <c r="F122" s="45">
        <v>4</v>
      </c>
    </row>
  </sheetData>
  <autoFilter ref="A2:F122" xr:uid="{00000000-0009-0000-0000-000001000000}"/>
  <mergeCells count="7">
    <mergeCell ref="E99:E122"/>
    <mergeCell ref="E43:E58"/>
    <mergeCell ref="E59:E82"/>
    <mergeCell ref="E83:E98"/>
    <mergeCell ref="E3:E37"/>
    <mergeCell ref="E38:E39"/>
    <mergeCell ref="E41:E42"/>
  </mergeCells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6"/>
  <sheetViews>
    <sheetView workbookViewId="0">
      <selection activeCell="C30" sqref="C30"/>
    </sheetView>
  </sheetViews>
  <sheetFormatPr defaultRowHeight="13.2"/>
  <cols>
    <col min="2" max="2" width="9.88671875" bestFit="1" customWidth="1"/>
    <col min="3" max="3" width="20.6640625" bestFit="1" customWidth="1"/>
    <col min="4" max="4" width="7.88671875" style="22" bestFit="1" customWidth="1"/>
    <col min="5" max="5" width="11.88671875" customWidth="1"/>
  </cols>
  <sheetData>
    <row r="1" spans="2:5" ht="13.8" thickBot="1"/>
    <row r="2" spans="2:5">
      <c r="B2" s="58" t="s">
        <v>121</v>
      </c>
      <c r="C2" s="59" t="s">
        <v>107</v>
      </c>
      <c r="D2" s="59" t="s">
        <v>111</v>
      </c>
      <c r="E2" s="60" t="s">
        <v>120</v>
      </c>
    </row>
    <row r="3" spans="2:5">
      <c r="B3" s="54" t="s">
        <v>48</v>
      </c>
      <c r="C3" s="23" t="s">
        <v>108</v>
      </c>
      <c r="D3" s="25" t="s">
        <v>115</v>
      </c>
      <c r="E3" s="61">
        <v>4</v>
      </c>
    </row>
    <row r="4" spans="2:5">
      <c r="B4" s="55"/>
      <c r="C4" s="24" t="s">
        <v>109</v>
      </c>
      <c r="D4" s="26" t="s">
        <v>115</v>
      </c>
      <c r="E4" s="62">
        <v>1</v>
      </c>
    </row>
    <row r="5" spans="2:5">
      <c r="B5" s="55"/>
      <c r="C5" s="24" t="s">
        <v>116</v>
      </c>
      <c r="D5" s="26"/>
      <c r="E5" s="62"/>
    </row>
    <row r="6" spans="2:5">
      <c r="B6" s="55"/>
      <c r="C6" s="24" t="s">
        <v>110</v>
      </c>
      <c r="D6" s="26"/>
      <c r="E6" s="62">
        <v>2</v>
      </c>
    </row>
    <row r="7" spans="2:5">
      <c r="B7" s="55"/>
      <c r="C7" s="24" t="s">
        <v>60</v>
      </c>
      <c r="D7" s="26"/>
      <c r="E7" s="62">
        <v>2</v>
      </c>
    </row>
    <row r="8" spans="2:5" ht="13.8" thickBot="1">
      <c r="B8" s="56"/>
      <c r="C8" s="57" t="s">
        <v>42</v>
      </c>
      <c r="D8" s="53" t="s">
        <v>117</v>
      </c>
      <c r="E8" s="63">
        <v>10</v>
      </c>
    </row>
    <row r="9" spans="2:5">
      <c r="B9" s="64" t="s">
        <v>56</v>
      </c>
      <c r="C9" s="65" t="s">
        <v>112</v>
      </c>
      <c r="D9" s="67" t="s">
        <v>117</v>
      </c>
      <c r="E9" s="66" t="s">
        <v>123</v>
      </c>
    </row>
    <row r="10" spans="2:5">
      <c r="B10" s="55"/>
      <c r="C10" s="24" t="s">
        <v>113</v>
      </c>
      <c r="D10" s="26" t="s">
        <v>118</v>
      </c>
      <c r="E10" s="62" t="s">
        <v>122</v>
      </c>
    </row>
    <row r="11" spans="2:5" ht="13.8" thickBot="1">
      <c r="B11" s="56"/>
      <c r="C11" s="57" t="s">
        <v>114</v>
      </c>
      <c r="D11" s="53" t="s">
        <v>119</v>
      </c>
      <c r="E11" s="63" t="s">
        <v>135</v>
      </c>
    </row>
    <row r="12" spans="2:5">
      <c r="B12" s="64" t="s">
        <v>57</v>
      </c>
      <c r="C12" s="65" t="s">
        <v>112</v>
      </c>
      <c r="D12" s="67" t="s">
        <v>117</v>
      </c>
      <c r="E12" s="66" t="s">
        <v>125</v>
      </c>
    </row>
    <row r="13" spans="2:5">
      <c r="B13" s="55"/>
      <c r="C13" s="24" t="s">
        <v>113</v>
      </c>
      <c r="D13" s="26" t="s">
        <v>118</v>
      </c>
      <c r="E13" s="62" t="s">
        <v>124</v>
      </c>
    </row>
    <row r="14" spans="2:5" ht="13.8" thickBot="1">
      <c r="B14" s="56"/>
      <c r="C14" s="57" t="s">
        <v>114</v>
      </c>
      <c r="D14" s="53" t="s">
        <v>119</v>
      </c>
      <c r="E14" s="63" t="s">
        <v>134</v>
      </c>
    </row>
    <row r="16" spans="2:5">
      <c r="B16" t="s">
        <v>147</v>
      </c>
    </row>
  </sheetData>
  <phoneticPr fontId="4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F15"/>
  <sheetViews>
    <sheetView workbookViewId="0">
      <selection activeCell="E28" sqref="E28"/>
    </sheetView>
  </sheetViews>
  <sheetFormatPr defaultRowHeight="13.2"/>
  <sheetData>
    <row r="3" spans="2:6">
      <c r="B3" t="s">
        <v>126</v>
      </c>
    </row>
    <row r="5" spans="2:6">
      <c r="B5" s="22" t="s">
        <v>129</v>
      </c>
      <c r="C5" t="s">
        <v>128</v>
      </c>
    </row>
    <row r="6" spans="2:6">
      <c r="C6" t="s">
        <v>127</v>
      </c>
    </row>
    <row r="8" spans="2:6">
      <c r="B8" s="22" t="s">
        <v>130</v>
      </c>
      <c r="C8" t="s">
        <v>131</v>
      </c>
    </row>
    <row r="10" spans="2:6">
      <c r="B10" s="22" t="s">
        <v>132</v>
      </c>
      <c r="C10" t="s">
        <v>138</v>
      </c>
    </row>
    <row r="13" spans="2:6">
      <c r="B13" t="s">
        <v>133</v>
      </c>
    </row>
    <row r="15" spans="2:6">
      <c r="B15" t="s">
        <v>136</v>
      </c>
      <c r="C15" t="s">
        <v>137</v>
      </c>
      <c r="F15" t="s">
        <v>139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スケジュール</vt:lpstr>
      <vt:lpstr>見積工数</vt:lpstr>
      <vt:lpstr>詳細見積</vt:lpstr>
      <vt:lpstr>品質評価</vt:lpstr>
      <vt:lpstr>制約事項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hao_isss</dc:creator>
  <cp:lastModifiedBy>6546</cp:lastModifiedBy>
  <dcterms:created xsi:type="dcterms:W3CDTF">2020-09-20T07:57:10Z</dcterms:created>
  <dcterms:modified xsi:type="dcterms:W3CDTF">2020-09-25T11:14:01Z</dcterms:modified>
</cp:coreProperties>
</file>