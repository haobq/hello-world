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資料\"/>
    </mc:Choice>
  </mc:AlternateContent>
  <bookViews>
    <workbookView xWindow="0" yWindow="0" windowWidth="28800" windowHeight="11910" activeTab="2"/>
  </bookViews>
  <sheets>
    <sheet name="見積工数" sheetId="2" r:id="rId1"/>
    <sheet name="詳細見積" sheetId="1" r:id="rId2"/>
    <sheet name="品質評価" sheetId="3" r:id="rId3"/>
    <sheet name="制約事項" sheetId="4" r:id="rId4"/>
  </sheets>
  <definedNames>
    <definedName name="_xlnm._FilterDatabase" localSheetId="1" hidden="1">詳細見積!$A$2:$F$122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2" l="1"/>
  <c r="E23" i="2"/>
  <c r="E17" i="2"/>
  <c r="E12" i="2"/>
  <c r="E3" i="2"/>
</calcChain>
</file>

<file path=xl/sharedStrings.xml><?xml version="1.0" encoding="utf-8"?>
<sst xmlns="http://schemas.openxmlformats.org/spreadsheetml/2006/main" count="281" uniqueCount="146">
  <si>
    <t>①．</t>
    <phoneticPr fontId="4"/>
  </si>
  <si>
    <t>②．</t>
    <phoneticPr fontId="4"/>
  </si>
  <si>
    <t>起動中画面。（認証、データ取得処理）</t>
    <rPh sb="0" eb="2">
      <t>キドウ</t>
    </rPh>
    <rPh sb="2" eb="3">
      <t>チュウ</t>
    </rPh>
    <rPh sb="3" eb="5">
      <t>ガメン</t>
    </rPh>
    <rPh sb="7" eb="9">
      <t>ニンショウ</t>
    </rPh>
    <rPh sb="13" eb="15">
      <t>シュトク</t>
    </rPh>
    <rPh sb="15" eb="17">
      <t>ショリ</t>
    </rPh>
    <phoneticPr fontId="4"/>
  </si>
  <si>
    <t>③．</t>
    <phoneticPr fontId="4"/>
  </si>
  <si>
    <t>④．</t>
    <phoneticPr fontId="4"/>
  </si>
  <si>
    <t>⑤．</t>
    <phoneticPr fontId="4"/>
  </si>
  <si>
    <t>⑥．</t>
    <phoneticPr fontId="4"/>
  </si>
  <si>
    <t>マニュアルをリンク</t>
    <phoneticPr fontId="4"/>
  </si>
  <si>
    <t>画面構造</t>
  </si>
  <si>
    <t>フォルダ選択画面</t>
  </si>
  <si>
    <t>患者検索画面</t>
  </si>
  <si>
    <t>②．</t>
    <phoneticPr fontId="4"/>
  </si>
  <si>
    <t>動画サムネイル画面</t>
  </si>
  <si>
    <t>①．</t>
    <phoneticPr fontId="4"/>
  </si>
  <si>
    <t>③．</t>
    <phoneticPr fontId="4"/>
  </si>
  <si>
    <t>選択された動画ファイルから三枚表示する。</t>
    <rPh sb="0" eb="2">
      <t>センタク</t>
    </rPh>
    <rPh sb="5" eb="7">
      <t>ドウガ</t>
    </rPh>
    <rPh sb="13" eb="15">
      <t>サンマイ</t>
    </rPh>
    <rPh sb="15" eb="17">
      <t>ヒョウジ</t>
    </rPh>
    <phoneticPr fontId="4"/>
  </si>
  <si>
    <t>動画再生画面</t>
  </si>
  <si>
    <t>再生中の動画ファイル名、格納フォルダ、最新撮影日時を表示する</t>
    <rPh sb="0" eb="2">
      <t>サイセイ</t>
    </rPh>
    <rPh sb="2" eb="3">
      <t>チュウ</t>
    </rPh>
    <rPh sb="4" eb="6">
      <t>ドウガ</t>
    </rPh>
    <rPh sb="10" eb="11">
      <t>メイ</t>
    </rPh>
    <rPh sb="12" eb="14">
      <t>カクノウ</t>
    </rPh>
    <rPh sb="19" eb="21">
      <t>サイシン</t>
    </rPh>
    <rPh sb="21" eb="23">
      <t>サツエイ</t>
    </rPh>
    <rPh sb="23" eb="25">
      <t>ニチジ</t>
    </rPh>
    <rPh sb="26" eb="28">
      <t>ヒョウジ</t>
    </rPh>
    <phoneticPr fontId="4"/>
  </si>
  <si>
    <t>④．</t>
    <phoneticPr fontId="4"/>
  </si>
  <si>
    <t>再生中の動画ファイルの開始時間は調整可能です。</t>
    <rPh sb="11" eb="13">
      <t>カイシ</t>
    </rPh>
    <rPh sb="13" eb="15">
      <t>ジカン</t>
    </rPh>
    <rPh sb="16" eb="18">
      <t>チョウセイ</t>
    </rPh>
    <rPh sb="18" eb="20">
      <t>カノウ</t>
    </rPh>
    <phoneticPr fontId="4"/>
  </si>
  <si>
    <t>⑥．</t>
    <phoneticPr fontId="4"/>
  </si>
  <si>
    <t>再生中の動画ファイルの音量は調整可能です。</t>
    <rPh sb="11" eb="13">
      <t>オンリョウ</t>
    </rPh>
    <rPh sb="14" eb="16">
      <t>チョウセイ</t>
    </rPh>
    <rPh sb="16" eb="18">
      <t>カノウ</t>
    </rPh>
    <phoneticPr fontId="4"/>
  </si>
  <si>
    <t>⑦．</t>
    <phoneticPr fontId="4"/>
  </si>
  <si>
    <t>再生中の動画ファイルの動画の撮影日時を表示する。</t>
  </si>
  <si>
    <t>動画送信</t>
  </si>
  <si>
    <t>選択された動画ファイル。</t>
    <rPh sb="0" eb="2">
      <t>センタク</t>
    </rPh>
    <rPh sb="5" eb="7">
      <t>ドウガ</t>
    </rPh>
    <phoneticPr fontId="4"/>
  </si>
  <si>
    <t>選択された患者情報。</t>
    <rPh sb="0" eb="2">
      <t>センタク</t>
    </rPh>
    <rPh sb="5" eb="7">
      <t>カンジャ</t>
    </rPh>
    <rPh sb="7" eb="9">
      <t>ジョウホウ</t>
    </rPh>
    <phoneticPr fontId="4"/>
  </si>
  <si>
    <t>動画の撮影日、修正可能。</t>
    <rPh sb="0" eb="2">
      <t>ドウガ</t>
    </rPh>
    <rPh sb="3" eb="5">
      <t>サツエイ</t>
    </rPh>
    <rPh sb="5" eb="6">
      <t>ビ</t>
    </rPh>
    <rPh sb="7" eb="9">
      <t>シュウセイ</t>
    </rPh>
    <rPh sb="9" eb="11">
      <t>カノウ</t>
    </rPh>
    <phoneticPr fontId="4"/>
  </si>
  <si>
    <t>送信中の処理状況を表示する。</t>
    <rPh sb="0" eb="2">
      <t>ソウシン</t>
    </rPh>
    <rPh sb="2" eb="3">
      <t>チュウ</t>
    </rPh>
    <rPh sb="4" eb="6">
      <t>ショリ</t>
    </rPh>
    <rPh sb="6" eb="8">
      <t>ジョウキョウ</t>
    </rPh>
    <rPh sb="9" eb="11">
      <t>ヒョウジ</t>
    </rPh>
    <phoneticPr fontId="4"/>
  </si>
  <si>
    <t>インストール</t>
  </si>
  <si>
    <t>動画管理システムダウンロード用ページの内容</t>
    <rPh sb="14" eb="15">
      <t>ヨウ</t>
    </rPh>
    <rPh sb="19" eb="21">
      <t>ナイヨウ</t>
    </rPh>
    <phoneticPr fontId="4"/>
  </si>
  <si>
    <t>JAVAフォレーム作成</t>
    <phoneticPr fontId="4"/>
  </si>
  <si>
    <t>C#のWEBサービス環境構築</t>
    <phoneticPr fontId="4"/>
  </si>
  <si>
    <t>WEBサービスのWSDL作成</t>
    <phoneticPr fontId="4"/>
  </si>
  <si>
    <t>⑤．</t>
    <phoneticPr fontId="4"/>
  </si>
  <si>
    <t>送信中の動画ファイルを中止させる。</t>
    <phoneticPr fontId="4"/>
  </si>
  <si>
    <t>送信済の動画ファイルを削除する。</t>
    <phoneticPr fontId="4"/>
  </si>
  <si>
    <t>⑧．</t>
    <phoneticPr fontId="4"/>
  </si>
  <si>
    <t>送信中の進捗状況を表示する。</t>
    <phoneticPr fontId="4"/>
  </si>
  <si>
    <t>②．</t>
    <phoneticPr fontId="4"/>
  </si>
  <si>
    <t>④．</t>
    <phoneticPr fontId="4"/>
  </si>
  <si>
    <t>⑤．</t>
    <phoneticPr fontId="4"/>
  </si>
  <si>
    <t>操作マニュアル</t>
    <rPh sb="0" eb="2">
      <t>ソウサ</t>
    </rPh>
    <phoneticPr fontId="4"/>
  </si>
  <si>
    <t>NO</t>
    <phoneticPr fontId="4"/>
  </si>
  <si>
    <t>作業内容</t>
    <rPh sb="0" eb="2">
      <t>サギョウ</t>
    </rPh>
    <rPh sb="2" eb="4">
      <t>ナイヨウ</t>
    </rPh>
    <phoneticPr fontId="4"/>
  </si>
  <si>
    <t>分類</t>
    <rPh sb="0" eb="2">
      <t>ブンルイ</t>
    </rPh>
    <phoneticPr fontId="4"/>
  </si>
  <si>
    <t>項目</t>
    <rPh sb="0" eb="2">
      <t>コウモク</t>
    </rPh>
    <phoneticPr fontId="4"/>
  </si>
  <si>
    <t>作業工数（H）</t>
    <rPh sb="0" eb="2">
      <t>サギョウ</t>
    </rPh>
    <rPh sb="2" eb="4">
      <t>コウスウ</t>
    </rPh>
    <phoneticPr fontId="4"/>
  </si>
  <si>
    <t>製造</t>
    <rPh sb="0" eb="2">
      <t>セイゾウ</t>
    </rPh>
    <phoneticPr fontId="4"/>
  </si>
  <si>
    <t>システム環境</t>
    <rPh sb="4" eb="6">
      <t>カンキョウ</t>
    </rPh>
    <phoneticPr fontId="4"/>
  </si>
  <si>
    <t>起動画面</t>
  </si>
  <si>
    <t>起動画面</t>
    <rPh sb="0" eb="2">
      <t>キドウ</t>
    </rPh>
    <rPh sb="2" eb="4">
      <t>ガメン</t>
    </rPh>
    <phoneticPr fontId="4"/>
  </si>
  <si>
    <t>プロキシー認証</t>
    <rPh sb="5" eb="7">
      <t>ニンショウ</t>
    </rPh>
    <phoneticPr fontId="4"/>
  </si>
  <si>
    <t>ログイン認証</t>
    <rPh sb="4" eb="6">
      <t>ニンショウ</t>
    </rPh>
    <phoneticPr fontId="4"/>
  </si>
  <si>
    <t>マックPC用インストールパケージ</t>
    <rPh sb="5" eb="6">
      <t>ヨウ</t>
    </rPh>
    <phoneticPr fontId="4"/>
  </si>
  <si>
    <t>WindowPC用インストールパケージ</t>
    <rPh sb="8" eb="9">
      <t>ヨウ</t>
    </rPh>
    <phoneticPr fontId="4"/>
  </si>
  <si>
    <t>単体テスト</t>
    <rPh sb="0" eb="2">
      <t>タンタイ</t>
    </rPh>
    <phoneticPr fontId="4"/>
  </si>
  <si>
    <t>結合テスト</t>
    <rPh sb="0" eb="2">
      <t>ケツゴウ</t>
    </rPh>
    <phoneticPr fontId="4"/>
  </si>
  <si>
    <t>動画一覧で動画ファイルを選択するの切り替わる。</t>
    <phoneticPr fontId="4"/>
  </si>
  <si>
    <t>成果物</t>
    <rPh sb="0" eb="2">
      <t>セイカ</t>
    </rPh>
    <rPh sb="2" eb="3">
      <t>ブツ</t>
    </rPh>
    <phoneticPr fontId="4"/>
  </si>
  <si>
    <t>インストールマニュアル</t>
    <phoneticPr fontId="4"/>
  </si>
  <si>
    <t>WEBページ</t>
    <phoneticPr fontId="4"/>
  </si>
  <si>
    <t>テスト仕様書作成</t>
    <rPh sb="3" eb="5">
      <t>シヨウ</t>
    </rPh>
    <rPh sb="5" eb="6">
      <t>ショ</t>
    </rPh>
    <rPh sb="6" eb="8">
      <t>サクセイ</t>
    </rPh>
    <phoneticPr fontId="4"/>
  </si>
  <si>
    <t>テスト仕様書レビュー</t>
    <phoneticPr fontId="4"/>
  </si>
  <si>
    <t>WinPC(64Bite)テスト</t>
    <phoneticPr fontId="4"/>
  </si>
  <si>
    <t>単体テスト仕様書</t>
    <phoneticPr fontId="4"/>
  </si>
  <si>
    <t>単体テスト結果</t>
    <rPh sb="5" eb="7">
      <t>ケッカ</t>
    </rPh>
    <phoneticPr fontId="4"/>
  </si>
  <si>
    <t>MacPC(64Bite)テスト</t>
    <phoneticPr fontId="4"/>
  </si>
  <si>
    <t>WinPC(32Bite)テスト</t>
    <phoneticPr fontId="4"/>
  </si>
  <si>
    <t>結合テスト仕様書</t>
    <rPh sb="0" eb="2">
      <t>ケツゴウ</t>
    </rPh>
    <phoneticPr fontId="4"/>
  </si>
  <si>
    <t>結合テスト結果</t>
    <rPh sb="0" eb="2">
      <t>ケツゴウ</t>
    </rPh>
    <phoneticPr fontId="4"/>
  </si>
  <si>
    <t>JAVA、C#ソース
JAVADOC</t>
    <phoneticPr fontId="4"/>
  </si>
  <si>
    <t>動画フォルダ選択画面</t>
    <phoneticPr fontId="4"/>
  </si>
  <si>
    <t>動画ファイル一覧に表示する</t>
    <rPh sb="0" eb="2">
      <t>ドウガ</t>
    </rPh>
    <rPh sb="6" eb="8">
      <t>イチラン</t>
    </rPh>
    <rPh sb="9" eb="11">
      <t>ヒョウジ</t>
    </rPh>
    <phoneticPr fontId="4"/>
  </si>
  <si>
    <t>「状況」、「ファイル名称」、「最新撮影日」昇順/降順でソートする</t>
    <rPh sb="1" eb="3">
      <t>ジョウキョウ</t>
    </rPh>
    <rPh sb="10" eb="12">
      <t>メイショウ</t>
    </rPh>
    <rPh sb="15" eb="17">
      <t>サイシン</t>
    </rPh>
    <rPh sb="17" eb="19">
      <t>サツエイ</t>
    </rPh>
    <rPh sb="19" eb="20">
      <t>ビ</t>
    </rPh>
    <rPh sb="21" eb="23">
      <t>ショウジュン</t>
    </rPh>
    <rPh sb="24" eb="26">
      <t>コウジュン</t>
    </rPh>
    <phoneticPr fontId="4"/>
  </si>
  <si>
    <t>患者名入力、検索部品</t>
    <rPh sb="0" eb="2">
      <t>カンジャ</t>
    </rPh>
    <rPh sb="2" eb="3">
      <t>メイ</t>
    </rPh>
    <rPh sb="3" eb="5">
      <t>ニュウリョク</t>
    </rPh>
    <rPh sb="6" eb="8">
      <t>ケンサク</t>
    </rPh>
    <rPh sb="8" eb="10">
      <t>ブヒン</t>
    </rPh>
    <phoneticPr fontId="4"/>
  </si>
  <si>
    <t>WEBサービス経由して患者名を含むの患者リストを取得する。</t>
    <rPh sb="7" eb="9">
      <t>ケイユウ</t>
    </rPh>
    <rPh sb="11" eb="13">
      <t>カンジャ</t>
    </rPh>
    <rPh sb="13" eb="14">
      <t>メイ</t>
    </rPh>
    <rPh sb="15" eb="16">
      <t>フク</t>
    </rPh>
    <rPh sb="18" eb="20">
      <t>カンジャ</t>
    </rPh>
    <rPh sb="24" eb="26">
      <t>シュトク</t>
    </rPh>
    <phoneticPr fontId="4"/>
  </si>
  <si>
    <t>リストを画面に表示する。</t>
    <rPh sb="4" eb="6">
      <t>ガメン</t>
    </rPh>
    <rPh sb="7" eb="9">
      <t>ヒョウジ</t>
    </rPh>
    <phoneticPr fontId="4"/>
  </si>
  <si>
    <t>「患者名」、「生年月日」、「患者番号」昇順/降順でソートする</t>
    <rPh sb="1" eb="3">
      <t>カンジャ</t>
    </rPh>
    <rPh sb="3" eb="4">
      <t>メイ</t>
    </rPh>
    <rPh sb="7" eb="11">
      <t>セイネンガッピ</t>
    </rPh>
    <rPh sb="14" eb="16">
      <t>カンジャ</t>
    </rPh>
    <rPh sb="16" eb="18">
      <t>バンゴウ</t>
    </rPh>
    <rPh sb="19" eb="21">
      <t>ショウジュン</t>
    </rPh>
    <rPh sb="22" eb="24">
      <t>コウジュン</t>
    </rPh>
    <phoneticPr fontId="4"/>
  </si>
  <si>
    <t>インストール</t>
    <phoneticPr fontId="4"/>
  </si>
  <si>
    <t>WEBサービスの正常/異常稼働</t>
    <rPh sb="8" eb="10">
      <t>セイジョウ</t>
    </rPh>
    <rPh sb="11" eb="13">
      <t>イジョウ</t>
    </rPh>
    <rPh sb="13" eb="15">
      <t>カドウ</t>
    </rPh>
    <phoneticPr fontId="4"/>
  </si>
  <si>
    <t>クライアントの正常/異常稼働</t>
    <phoneticPr fontId="4"/>
  </si>
  <si>
    <t>動画再生画面</t>
    <phoneticPr fontId="4"/>
  </si>
  <si>
    <t>マニュアル</t>
    <phoneticPr fontId="4"/>
  </si>
  <si>
    <t>単体テスト仕様書</t>
    <phoneticPr fontId="4"/>
  </si>
  <si>
    <t>単体テスト結果</t>
    <phoneticPr fontId="4"/>
  </si>
  <si>
    <t>結合テスト仕様書</t>
    <phoneticPr fontId="4"/>
  </si>
  <si>
    <t>結合テスト結果</t>
    <phoneticPr fontId="4"/>
  </si>
  <si>
    <t>クライアント設定</t>
    <rPh sb="6" eb="8">
      <t>セッテイ</t>
    </rPh>
    <phoneticPr fontId="4"/>
  </si>
  <si>
    <t>動画ファイルの送信パフォーマンス</t>
    <rPh sb="7" eb="9">
      <t>ソウシン</t>
    </rPh>
    <phoneticPr fontId="4"/>
  </si>
  <si>
    <t>動画ファイルの選択、一覧表示</t>
    <rPh sb="7" eb="9">
      <t>センタク</t>
    </rPh>
    <rPh sb="10" eb="12">
      <t>イチラン</t>
    </rPh>
    <rPh sb="12" eb="14">
      <t>ヒョウジ</t>
    </rPh>
    <phoneticPr fontId="4"/>
  </si>
  <si>
    <t>患者名入力、検索、一覧表示</t>
    <rPh sb="0" eb="2">
      <t>カンジャ</t>
    </rPh>
    <rPh sb="2" eb="3">
      <t>メイ</t>
    </rPh>
    <rPh sb="3" eb="5">
      <t>ニュウリョク</t>
    </rPh>
    <rPh sb="6" eb="8">
      <t>ケンサク</t>
    </rPh>
    <rPh sb="9" eb="11">
      <t>イチラン</t>
    </rPh>
    <rPh sb="11" eb="13">
      <t>ヒョウジ</t>
    </rPh>
    <phoneticPr fontId="4"/>
  </si>
  <si>
    <t>動画ファイルサムネイル表示、再生</t>
    <rPh sb="0" eb="2">
      <t>ドウガ</t>
    </rPh>
    <rPh sb="11" eb="13">
      <t>ヒョウジ</t>
    </rPh>
    <rPh sb="14" eb="16">
      <t>サイセイ</t>
    </rPh>
    <phoneticPr fontId="4"/>
  </si>
  <si>
    <t>動画一覧で選択された動画ファイルを再生。</t>
    <rPh sb="0" eb="2">
      <t>ドウガ</t>
    </rPh>
    <rPh sb="2" eb="4">
      <t>イチラン</t>
    </rPh>
    <rPh sb="5" eb="7">
      <t>センタク</t>
    </rPh>
    <rPh sb="10" eb="12">
      <t>ドウガ</t>
    </rPh>
    <rPh sb="17" eb="19">
      <t>サイセイ</t>
    </rPh>
    <phoneticPr fontId="4"/>
  </si>
  <si>
    <t>動画送信」ボタンが活性化、その他場合、非活性。</t>
    <rPh sb="0" eb="2">
      <t>ドウガ</t>
    </rPh>
    <rPh sb="2" eb="4">
      <t>ソウシン</t>
    </rPh>
    <rPh sb="9" eb="12">
      <t>カッセイカ</t>
    </rPh>
    <rPh sb="15" eb="16">
      <t>タ</t>
    </rPh>
    <rPh sb="16" eb="18">
      <t>バアイ</t>
    </rPh>
    <rPh sb="19" eb="20">
      <t>ヒ</t>
    </rPh>
    <rPh sb="20" eb="22">
      <t>カッセイ</t>
    </rPh>
    <phoneticPr fontId="4"/>
  </si>
  <si>
    <t>シュートカード</t>
    <phoneticPr fontId="4"/>
  </si>
  <si>
    <t>動画管理のメイン画面初期化</t>
    <rPh sb="0" eb="2">
      <t>ドウガ</t>
    </rPh>
    <rPh sb="2" eb="4">
      <t>カンリ</t>
    </rPh>
    <rPh sb="8" eb="10">
      <t>ガメン</t>
    </rPh>
    <rPh sb="10" eb="13">
      <t>ショキカ</t>
    </rPh>
    <phoneticPr fontId="4"/>
  </si>
  <si>
    <t>左右画面領域を拡大のため、左右にドラッグ＆ドロップ</t>
    <rPh sb="0" eb="2">
      <t>サユウ</t>
    </rPh>
    <rPh sb="2" eb="4">
      <t>ガメン</t>
    </rPh>
    <rPh sb="4" eb="6">
      <t>リョウイキ</t>
    </rPh>
    <rPh sb="7" eb="9">
      <t>カクダイ</t>
    </rPh>
    <rPh sb="13" eb="15">
      <t>サユウ</t>
    </rPh>
    <phoneticPr fontId="4"/>
  </si>
  <si>
    <t>システム設定情報画面</t>
    <rPh sb="4" eb="6">
      <t>セッテイ</t>
    </rPh>
    <rPh sb="6" eb="8">
      <t>ジョウホウ</t>
    </rPh>
    <rPh sb="8" eb="10">
      <t>ガメン</t>
    </rPh>
    <phoneticPr fontId="4"/>
  </si>
  <si>
    <t>「フォルダ選択」ボタン</t>
    <rPh sb="5" eb="7">
      <t>センタク</t>
    </rPh>
    <phoneticPr fontId="4"/>
  </si>
  <si>
    <t>再生、一時停止、先頭に戻る</t>
    <phoneticPr fontId="4"/>
  </si>
  <si>
    <t>インストールパケージ</t>
    <phoneticPr fontId="4"/>
  </si>
  <si>
    <t xml:space="preserve">JAVA、C#ソース
JAVADOC、
マニュアル、
インストールパケージ
</t>
    <phoneticPr fontId="4"/>
  </si>
  <si>
    <t>小計（H)</t>
    <rPh sb="0" eb="2">
      <t>ショウケイ</t>
    </rPh>
    <phoneticPr fontId="4"/>
  </si>
  <si>
    <t>合計</t>
    <rPh sb="0" eb="2">
      <t>ゴウケイ</t>
    </rPh>
    <phoneticPr fontId="4"/>
  </si>
  <si>
    <t>単体</t>
    <rPh sb="0" eb="2">
      <t>タンタイ</t>
    </rPh>
    <phoneticPr fontId="4"/>
  </si>
  <si>
    <t>結合</t>
    <rPh sb="0" eb="2">
      <t>ケツゴウ</t>
    </rPh>
    <phoneticPr fontId="4"/>
  </si>
  <si>
    <t>成果物</t>
    <rPh sb="0" eb="3">
      <t>セイカブツ</t>
    </rPh>
    <phoneticPr fontId="4"/>
  </si>
  <si>
    <t>JAVAソース</t>
    <phoneticPr fontId="4"/>
  </si>
  <si>
    <t>C#ソース</t>
    <phoneticPr fontId="4"/>
  </si>
  <si>
    <t>インストールパケージ</t>
    <phoneticPr fontId="4"/>
  </si>
  <si>
    <t>単位</t>
    <rPh sb="0" eb="2">
      <t>タンイ</t>
    </rPh>
    <phoneticPr fontId="4"/>
  </si>
  <si>
    <t>テスト仕様書</t>
    <rPh sb="3" eb="5">
      <t>シヨウ</t>
    </rPh>
    <rPh sb="5" eb="6">
      <t>ショ</t>
    </rPh>
    <phoneticPr fontId="4"/>
  </si>
  <si>
    <t>テスト結果</t>
    <rPh sb="3" eb="5">
      <t>ケッカ</t>
    </rPh>
    <phoneticPr fontId="4"/>
  </si>
  <si>
    <t>バグFIX</t>
    <phoneticPr fontId="4"/>
  </si>
  <si>
    <t>K（Step)</t>
    <phoneticPr fontId="4"/>
  </si>
  <si>
    <t>JAVADOC（HTML)</t>
    <phoneticPr fontId="4"/>
  </si>
  <si>
    <t>ページ</t>
    <phoneticPr fontId="4"/>
  </si>
  <si>
    <t>ケース</t>
    <phoneticPr fontId="4"/>
  </si>
  <si>
    <t>個</t>
    <rPh sb="0" eb="1">
      <t>コ</t>
    </rPh>
    <phoneticPr fontId="4"/>
  </si>
  <si>
    <t>予想規模</t>
    <rPh sb="0" eb="2">
      <t>ヨソウ</t>
    </rPh>
    <rPh sb="2" eb="4">
      <t>キボ</t>
    </rPh>
    <phoneticPr fontId="4"/>
  </si>
  <si>
    <t>工程</t>
    <rPh sb="0" eb="2">
      <t>コウテイ</t>
    </rPh>
    <phoneticPr fontId="4"/>
  </si>
  <si>
    <t>400～500</t>
    <phoneticPr fontId="4"/>
  </si>
  <si>
    <t>20～30</t>
    <phoneticPr fontId="4"/>
  </si>
  <si>
    <t>100～200</t>
    <phoneticPr fontId="4"/>
  </si>
  <si>
    <t>10～15</t>
    <phoneticPr fontId="4"/>
  </si>
  <si>
    <t>備考</t>
    <rPh sb="0" eb="2">
      <t>ビコウ</t>
    </rPh>
    <phoneticPr fontId="4"/>
  </si>
  <si>
    <t>１．開発工程</t>
    <rPh sb="2" eb="4">
      <t>カイハツ</t>
    </rPh>
    <rPh sb="4" eb="6">
      <t>コウテイ</t>
    </rPh>
    <phoneticPr fontId="4"/>
  </si>
  <si>
    <t>エンドユーザのWinPC(32Bite）早めに入手して検証/対策する。手遅れすると開発工数倍増える可能性ある。</t>
    <rPh sb="20" eb="21">
      <t>ハヤ</t>
    </rPh>
    <rPh sb="23" eb="25">
      <t>ニュウシュ</t>
    </rPh>
    <rPh sb="27" eb="29">
      <t>ケンショウ</t>
    </rPh>
    <rPh sb="30" eb="32">
      <t>タイサク</t>
    </rPh>
    <rPh sb="35" eb="37">
      <t>テオク</t>
    </rPh>
    <rPh sb="41" eb="43">
      <t>カイハツ</t>
    </rPh>
    <rPh sb="43" eb="45">
      <t>コウスウ</t>
    </rPh>
    <rPh sb="45" eb="46">
      <t>バイ</t>
    </rPh>
    <rPh sb="46" eb="47">
      <t>フ</t>
    </rPh>
    <rPh sb="49" eb="51">
      <t>カノウ</t>
    </rPh>
    <rPh sb="51" eb="52">
      <t>セイ</t>
    </rPh>
    <phoneticPr fontId="4"/>
  </si>
  <si>
    <t>WinPC/MacPC（64Bite）で開発ベースと見積ですが、WinPC(32Bite）も対応すると、二つバージョン開発の可能性もある</t>
    <rPh sb="20" eb="22">
      <t>カイハツ</t>
    </rPh>
    <rPh sb="26" eb="28">
      <t>ミツモリ</t>
    </rPh>
    <rPh sb="46" eb="48">
      <t>タイオウ</t>
    </rPh>
    <rPh sb="52" eb="53">
      <t>フタ</t>
    </rPh>
    <rPh sb="59" eb="61">
      <t>カイハツ</t>
    </rPh>
    <rPh sb="62" eb="64">
      <t>カノウ</t>
    </rPh>
    <rPh sb="64" eb="65">
      <t>セイ</t>
    </rPh>
    <phoneticPr fontId="4"/>
  </si>
  <si>
    <t>①</t>
    <phoneticPr fontId="4"/>
  </si>
  <si>
    <t>②</t>
    <phoneticPr fontId="4"/>
  </si>
  <si>
    <t>MacPCは10月中旬から入手する。</t>
    <rPh sb="8" eb="9">
      <t>ゲツ</t>
    </rPh>
    <rPh sb="9" eb="11">
      <t>チュウジュン</t>
    </rPh>
    <rPh sb="13" eb="15">
      <t>ニュウシュ</t>
    </rPh>
    <phoneticPr fontId="4"/>
  </si>
  <si>
    <t>③</t>
    <phoneticPr fontId="4"/>
  </si>
  <si>
    <t>２．テスト工程</t>
    <rPh sb="5" eb="7">
      <t>コウテイ</t>
    </rPh>
    <phoneticPr fontId="4"/>
  </si>
  <si>
    <t>20～40</t>
    <phoneticPr fontId="4"/>
  </si>
  <si>
    <t>50～75</t>
    <phoneticPr fontId="4"/>
  </si>
  <si>
    <t>ケース密度　8％～10%</t>
    <phoneticPr fontId="4"/>
  </si>
  <si>
    <t>ケース密度　2％～4%</t>
    <phoneticPr fontId="4"/>
  </si>
  <si>
    <t>不具合密度：0.4%～0.8%</t>
    <phoneticPr fontId="4"/>
  </si>
  <si>
    <t>不具合密度：1.0%～1.5％</t>
    <rPh sb="0" eb="3">
      <t>フグアイ</t>
    </rPh>
    <rPh sb="3" eb="5">
      <t>ミツド</t>
    </rPh>
    <phoneticPr fontId="4"/>
  </si>
  <si>
    <t>ｓ</t>
    <phoneticPr fontId="4"/>
  </si>
  <si>
    <t>　　　①</t>
    <phoneticPr fontId="4"/>
  </si>
  <si>
    <t>お互い待ち時間を減らすように。</t>
    <rPh sb="1" eb="2">
      <t>タガ</t>
    </rPh>
    <rPh sb="3" eb="4">
      <t>マ</t>
    </rPh>
    <rPh sb="5" eb="7">
      <t>ジカン</t>
    </rPh>
    <rPh sb="8" eb="9">
      <t>ヘ</t>
    </rPh>
    <phoneticPr fontId="4"/>
  </si>
  <si>
    <t>ソース連携の部分、お互い先に着手ように。</t>
    <rPh sb="3" eb="5">
      <t>レンケイ</t>
    </rPh>
    <rPh sb="6" eb="8">
      <t>ブブン</t>
    </rPh>
    <rPh sb="10" eb="11">
      <t>タガ</t>
    </rPh>
    <rPh sb="12" eb="13">
      <t>サキ</t>
    </rPh>
    <rPh sb="14" eb="16">
      <t>チャクシュ</t>
    </rPh>
    <phoneticPr fontId="4"/>
  </si>
  <si>
    <t>発生の場合、別途の仕事調整。</t>
    <rPh sb="0" eb="2">
      <t>ハッセイ</t>
    </rPh>
    <rPh sb="3" eb="5">
      <t>バアイ</t>
    </rPh>
    <rPh sb="6" eb="8">
      <t>ベット</t>
    </rPh>
    <rPh sb="9" eb="11">
      <t>シゴト</t>
    </rPh>
    <rPh sb="11" eb="13">
      <t>チョウセイ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</si>
</sst>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1"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2"/>
      <color theme="0"/>
      <name val="ＭＳ Ｐゴシック"/>
      <family val="2"/>
      <charset val="128"/>
      <scheme val="minor"/>
    </font>
    <font>
      <sz val="12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/>
  </cellStyleXfs>
  <cellXfs count="9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3" fillId="0" borderId="2" xfId="1" applyFont="1" applyBorder="1" applyAlignment="1"/>
    <xf numFmtId="49" fontId="3" fillId="0" borderId="2" xfId="2" applyNumberFormat="1" applyFont="1" applyFill="1" applyBorder="1" applyAlignment="1">
      <alignment horizontal="left"/>
    </xf>
    <xf numFmtId="176" fontId="3" fillId="0" borderId="2" xfId="1" applyNumberFormat="1" applyFont="1" applyBorder="1" applyAlignment="1"/>
    <xf numFmtId="0" fontId="6" fillId="0" borderId="2" xfId="1" applyFont="1" applyBorder="1" applyAlignment="1"/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3" fillId="0" borderId="1" xfId="1" applyFont="1" applyBorder="1" applyAlignment="1"/>
    <xf numFmtId="0" fontId="3" fillId="0" borderId="3" xfId="1" applyFont="1" applyBorder="1" applyAlignment="1"/>
    <xf numFmtId="49" fontId="3" fillId="0" borderId="1" xfId="2" applyNumberFormat="1" applyFont="1" applyFill="1" applyBorder="1" applyAlignment="1">
      <alignment horizontal="left"/>
    </xf>
    <xf numFmtId="176" fontId="3" fillId="0" borderId="1" xfId="1" applyNumberFormat="1" applyFont="1" applyBorder="1" applyAlignment="1"/>
    <xf numFmtId="0" fontId="6" fillId="0" borderId="3" xfId="1" applyFont="1" applyBorder="1" applyAlignment="1"/>
    <xf numFmtId="49" fontId="3" fillId="0" borderId="3" xfId="2" applyNumberFormat="1" applyFont="1" applyFill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31" xfId="0" applyBorder="1">
      <alignment vertical="center"/>
    </xf>
    <xf numFmtId="0" fontId="0" fillId="0" borderId="22" xfId="0" applyBorder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3" fillId="0" borderId="8" xfId="2" applyNumberFormat="1" applyFont="1" applyFill="1" applyBorder="1" applyAlignment="1">
      <alignment horizontal="center" vertical="center" wrapText="1"/>
    </xf>
    <xf numFmtId="49" fontId="3" fillId="0" borderId="5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Fill="1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_MD-仕様-DXXX_00_福祉請求JET4.0_2007Runtime_2003" xfId="1"/>
    <cellStyle name="標準_システム管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3" sqref="C3:C11"/>
    </sheetView>
  </sheetViews>
  <sheetFormatPr defaultRowHeight="13.5"/>
  <cols>
    <col min="2" max="2" width="16.75" bestFit="1" customWidth="1"/>
    <col min="3" max="3" width="20.375" bestFit="1" customWidth="1"/>
    <col min="4" max="4" width="13" style="22" bestFit="1" customWidth="1"/>
  </cols>
  <sheetData>
    <row r="1" spans="1:5" ht="14.25" thickBot="1"/>
    <row r="2" spans="1:5" ht="14.25">
      <c r="A2" s="46" t="s">
        <v>45</v>
      </c>
      <c r="B2" s="47" t="s">
        <v>46</v>
      </c>
      <c r="C2" s="48" t="s">
        <v>59</v>
      </c>
      <c r="D2" s="48" t="s">
        <v>47</v>
      </c>
      <c r="E2" s="49" t="s">
        <v>103</v>
      </c>
    </row>
    <row r="3" spans="1:5">
      <c r="A3" s="36" t="s">
        <v>48</v>
      </c>
      <c r="B3" s="2" t="s">
        <v>49</v>
      </c>
      <c r="C3" s="61" t="s">
        <v>102</v>
      </c>
      <c r="D3" s="25">
        <v>16</v>
      </c>
      <c r="E3" s="67">
        <f>SUM(D3:D11)</f>
        <v>319</v>
      </c>
    </row>
    <row r="4" spans="1:5">
      <c r="A4" s="37"/>
      <c r="B4" s="3" t="s">
        <v>51</v>
      </c>
      <c r="C4" s="62"/>
      <c r="D4" s="26">
        <v>8</v>
      </c>
      <c r="E4" s="67"/>
    </row>
    <row r="5" spans="1:5">
      <c r="A5" s="37"/>
      <c r="B5" s="3" t="s">
        <v>8</v>
      </c>
      <c r="C5" s="62"/>
      <c r="D5" s="26">
        <v>35</v>
      </c>
      <c r="E5" s="67"/>
    </row>
    <row r="6" spans="1:5">
      <c r="A6" s="37"/>
      <c r="B6" s="3" t="s">
        <v>9</v>
      </c>
      <c r="C6" s="62"/>
      <c r="D6" s="26">
        <v>32</v>
      </c>
      <c r="E6" s="67"/>
    </row>
    <row r="7" spans="1:5">
      <c r="A7" s="37"/>
      <c r="B7" s="3" t="s">
        <v>10</v>
      </c>
      <c r="C7" s="62"/>
      <c r="D7" s="26">
        <v>26</v>
      </c>
      <c r="E7" s="67"/>
    </row>
    <row r="8" spans="1:5">
      <c r="A8" s="37"/>
      <c r="B8" s="3" t="s">
        <v>12</v>
      </c>
      <c r="C8" s="62"/>
      <c r="D8" s="26">
        <v>16</v>
      </c>
      <c r="E8" s="67"/>
    </row>
    <row r="9" spans="1:5">
      <c r="A9" s="37"/>
      <c r="B9" s="3" t="s">
        <v>16</v>
      </c>
      <c r="C9" s="62"/>
      <c r="D9" s="26">
        <v>72</v>
      </c>
      <c r="E9" s="67"/>
    </row>
    <row r="10" spans="1:5">
      <c r="A10" s="37"/>
      <c r="B10" s="3" t="s">
        <v>24</v>
      </c>
      <c r="C10" s="62"/>
      <c r="D10" s="26">
        <v>66</v>
      </c>
      <c r="E10" s="67"/>
    </row>
    <row r="11" spans="1:5">
      <c r="A11" s="50"/>
      <c r="B11" s="8" t="s">
        <v>29</v>
      </c>
      <c r="C11" s="63"/>
      <c r="D11" s="27">
        <v>48</v>
      </c>
      <c r="E11" s="67"/>
    </row>
    <row r="12" spans="1:5">
      <c r="A12" s="36" t="s">
        <v>105</v>
      </c>
      <c r="B12" s="2" t="s">
        <v>62</v>
      </c>
      <c r="C12" s="64" t="s">
        <v>84</v>
      </c>
      <c r="D12" s="25">
        <v>56</v>
      </c>
      <c r="E12" s="67">
        <f>SUM(D12:D16)</f>
        <v>178</v>
      </c>
    </row>
    <row r="13" spans="1:5">
      <c r="A13" s="37"/>
      <c r="B13" s="3" t="s">
        <v>63</v>
      </c>
      <c r="C13" s="62"/>
      <c r="D13" s="26">
        <v>14</v>
      </c>
      <c r="E13" s="67"/>
    </row>
    <row r="14" spans="1:5">
      <c r="A14" s="37"/>
      <c r="B14" s="3" t="s">
        <v>64</v>
      </c>
      <c r="C14" s="62" t="s">
        <v>85</v>
      </c>
      <c r="D14" s="26">
        <v>36</v>
      </c>
      <c r="E14" s="67"/>
    </row>
    <row r="15" spans="1:5">
      <c r="A15" s="37"/>
      <c r="B15" s="3" t="s">
        <v>67</v>
      </c>
      <c r="C15" s="62"/>
      <c r="D15" s="26">
        <v>36</v>
      </c>
      <c r="E15" s="67"/>
    </row>
    <row r="16" spans="1:5">
      <c r="A16" s="50"/>
      <c r="B16" s="8" t="s">
        <v>68</v>
      </c>
      <c r="C16" s="63"/>
      <c r="D16" s="27">
        <v>36</v>
      </c>
      <c r="E16" s="67"/>
    </row>
    <row r="17" spans="1:5">
      <c r="A17" s="51" t="s">
        <v>106</v>
      </c>
      <c r="B17" s="9" t="s">
        <v>62</v>
      </c>
      <c r="C17" s="65" t="s">
        <v>86</v>
      </c>
      <c r="D17" s="28">
        <v>62</v>
      </c>
      <c r="E17" s="67">
        <f>SUM(D17:D21)</f>
        <v>158</v>
      </c>
    </row>
    <row r="18" spans="1:5">
      <c r="A18" s="37"/>
      <c r="B18" s="3" t="s">
        <v>63</v>
      </c>
      <c r="C18" s="62"/>
      <c r="D18" s="26">
        <v>12</v>
      </c>
      <c r="E18" s="67"/>
    </row>
    <row r="19" spans="1:5">
      <c r="A19" s="37"/>
      <c r="B19" s="3" t="s">
        <v>64</v>
      </c>
      <c r="C19" s="62" t="s">
        <v>87</v>
      </c>
      <c r="D19" s="26">
        <v>28</v>
      </c>
      <c r="E19" s="67"/>
    </row>
    <row r="20" spans="1:5">
      <c r="A20" s="37"/>
      <c r="B20" s="3" t="s">
        <v>67</v>
      </c>
      <c r="C20" s="62"/>
      <c r="D20" s="26">
        <v>28</v>
      </c>
      <c r="E20" s="67"/>
    </row>
    <row r="21" spans="1:5" ht="14.25" thickBot="1">
      <c r="A21" s="52"/>
      <c r="B21" s="40" t="s">
        <v>68</v>
      </c>
      <c r="C21" s="66"/>
      <c r="D21" s="53">
        <v>28</v>
      </c>
      <c r="E21" s="68"/>
    </row>
    <row r="23" spans="1:5">
      <c r="C23" t="s">
        <v>104</v>
      </c>
      <c r="D23" s="22">
        <f>SUM(D3:D22)</f>
        <v>655</v>
      </c>
      <c r="E23" s="22" t="str">
        <f>INT(SUM(E3:E22)/160) &amp; "人月"</f>
        <v>4人月</v>
      </c>
    </row>
  </sheetData>
  <mergeCells count="8">
    <mergeCell ref="E3:E11"/>
    <mergeCell ref="E12:E16"/>
    <mergeCell ref="E17:E21"/>
    <mergeCell ref="C3:C11"/>
    <mergeCell ref="C12:C13"/>
    <mergeCell ref="C14:C16"/>
    <mergeCell ref="C17:C18"/>
    <mergeCell ref="C19:C2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opLeftCell="A78" workbookViewId="0">
      <selection activeCell="L113" sqref="L113"/>
    </sheetView>
  </sheetViews>
  <sheetFormatPr defaultRowHeight="12"/>
  <cols>
    <col min="1" max="1" width="11" style="20" customWidth="1"/>
    <col min="2" max="2" width="16.25" style="1" bestFit="1" customWidth="1"/>
    <col min="3" max="3" width="5" style="1" hidden="1" customWidth="1"/>
    <col min="4" max="4" width="61.75" style="1" bestFit="1" customWidth="1"/>
    <col min="5" max="5" width="18.375" style="20" customWidth="1"/>
    <col min="6" max="6" width="17" style="20" bestFit="1" customWidth="1"/>
    <col min="7" max="16384" width="9" style="1"/>
  </cols>
  <sheetData>
    <row r="1" spans="1:6" ht="12.75" thickBot="1"/>
    <row r="2" spans="1:6" ht="14.25">
      <c r="A2" s="30" t="s">
        <v>45</v>
      </c>
      <c r="B2" s="31" t="s">
        <v>46</v>
      </c>
      <c r="C2" s="32" t="s">
        <v>43</v>
      </c>
      <c r="D2" s="32" t="s">
        <v>44</v>
      </c>
      <c r="E2" s="32" t="s">
        <v>59</v>
      </c>
      <c r="F2" s="33" t="s">
        <v>47</v>
      </c>
    </row>
    <row r="3" spans="1:6">
      <c r="A3" s="34" t="s">
        <v>48</v>
      </c>
      <c r="B3" s="10" t="s">
        <v>49</v>
      </c>
      <c r="C3" s="4" t="s">
        <v>0</v>
      </c>
      <c r="D3" s="3" t="s">
        <v>31</v>
      </c>
      <c r="E3" s="73" t="s">
        <v>71</v>
      </c>
      <c r="F3" s="41">
        <v>4</v>
      </c>
    </row>
    <row r="4" spans="1:6" ht="13.5" customHeight="1">
      <c r="A4" s="35"/>
      <c r="B4" s="11"/>
      <c r="C4" s="4" t="s">
        <v>1</v>
      </c>
      <c r="D4" s="3" t="s">
        <v>32</v>
      </c>
      <c r="E4" s="70"/>
      <c r="F4" s="41">
        <v>4</v>
      </c>
    </row>
    <row r="5" spans="1:6" ht="13.5" customHeight="1">
      <c r="A5" s="35"/>
      <c r="B5" s="12"/>
      <c r="C5" s="8" t="s">
        <v>3</v>
      </c>
      <c r="D5" s="8" t="s">
        <v>33</v>
      </c>
      <c r="E5" s="70"/>
      <c r="F5" s="42">
        <v>8</v>
      </c>
    </row>
    <row r="6" spans="1:6" ht="13.5" customHeight="1">
      <c r="A6" s="35"/>
      <c r="B6" s="13" t="s">
        <v>51</v>
      </c>
      <c r="C6" s="14" t="s">
        <v>0</v>
      </c>
      <c r="D6" s="14" t="s">
        <v>52</v>
      </c>
      <c r="E6" s="70"/>
      <c r="F6" s="43">
        <v>4</v>
      </c>
    </row>
    <row r="7" spans="1:6" ht="13.5" customHeight="1">
      <c r="A7" s="35"/>
      <c r="B7" s="12"/>
      <c r="C7" s="15" t="s">
        <v>1</v>
      </c>
      <c r="D7" s="15" t="s">
        <v>53</v>
      </c>
      <c r="E7" s="70"/>
      <c r="F7" s="42">
        <v>4</v>
      </c>
    </row>
    <row r="8" spans="1:6" ht="13.5" customHeight="1">
      <c r="A8" s="35"/>
      <c r="B8" s="13" t="s">
        <v>8</v>
      </c>
      <c r="C8" s="16" t="s">
        <v>0</v>
      </c>
      <c r="D8" s="17" t="s">
        <v>95</v>
      </c>
      <c r="E8" s="70"/>
      <c r="F8" s="43">
        <v>2</v>
      </c>
    </row>
    <row r="9" spans="1:6" ht="13.5" customHeight="1">
      <c r="A9" s="35"/>
      <c r="B9" s="11"/>
      <c r="C9" s="6" t="s">
        <v>1</v>
      </c>
      <c r="D9" s="4" t="s">
        <v>2</v>
      </c>
      <c r="E9" s="70"/>
      <c r="F9" s="41">
        <v>8</v>
      </c>
    </row>
    <row r="10" spans="1:6" ht="13.5" customHeight="1">
      <c r="A10" s="35"/>
      <c r="B10" s="11"/>
      <c r="C10" s="4" t="s">
        <v>3</v>
      </c>
      <c r="D10" s="5" t="s">
        <v>96</v>
      </c>
      <c r="E10" s="70"/>
      <c r="F10" s="41">
        <v>8</v>
      </c>
    </row>
    <row r="11" spans="1:6" ht="13.5" customHeight="1">
      <c r="A11" s="35"/>
      <c r="B11" s="11"/>
      <c r="C11" s="4" t="s">
        <v>4</v>
      </c>
      <c r="D11" s="4" t="s">
        <v>97</v>
      </c>
      <c r="E11" s="70"/>
      <c r="F11" s="41">
        <v>8</v>
      </c>
    </row>
    <row r="12" spans="1:6" ht="13.5" customHeight="1">
      <c r="A12" s="35"/>
      <c r="B12" s="11"/>
      <c r="C12" s="4" t="s">
        <v>5</v>
      </c>
      <c r="D12" s="4" t="s">
        <v>98</v>
      </c>
      <c r="E12" s="70"/>
      <c r="F12" s="41">
        <v>8</v>
      </c>
    </row>
    <row r="13" spans="1:6" ht="13.5" customHeight="1">
      <c r="A13" s="35"/>
      <c r="B13" s="12"/>
      <c r="C13" s="18" t="s">
        <v>6</v>
      </c>
      <c r="D13" s="18" t="s">
        <v>7</v>
      </c>
      <c r="E13" s="70"/>
      <c r="F13" s="42">
        <v>1</v>
      </c>
    </row>
    <row r="14" spans="1:6" ht="13.5" customHeight="1">
      <c r="A14" s="35"/>
      <c r="B14" s="13" t="s">
        <v>9</v>
      </c>
      <c r="C14" s="16" t="s">
        <v>0</v>
      </c>
      <c r="D14" s="17" t="s">
        <v>99</v>
      </c>
      <c r="E14" s="70"/>
      <c r="F14" s="43">
        <v>4</v>
      </c>
    </row>
    <row r="15" spans="1:6" ht="13.5" customHeight="1">
      <c r="A15" s="35"/>
      <c r="B15" s="11"/>
      <c r="C15" s="6" t="s">
        <v>1</v>
      </c>
      <c r="D15" s="4" t="s">
        <v>72</v>
      </c>
      <c r="E15" s="70"/>
      <c r="F15" s="41">
        <v>16</v>
      </c>
    </row>
    <row r="16" spans="1:6" ht="13.5" customHeight="1">
      <c r="A16" s="35"/>
      <c r="B16" s="11"/>
      <c r="C16" s="4" t="s">
        <v>3</v>
      </c>
      <c r="D16" s="5" t="s">
        <v>73</v>
      </c>
      <c r="E16" s="70"/>
      <c r="F16" s="41">
        <v>8</v>
      </c>
    </row>
    <row r="17" spans="1:6" ht="13.5" customHeight="1">
      <c r="A17" s="35"/>
      <c r="B17" s="12"/>
      <c r="C17" s="15" t="s">
        <v>4</v>
      </c>
      <c r="D17" s="15" t="s">
        <v>74</v>
      </c>
      <c r="E17" s="70"/>
      <c r="F17" s="42">
        <v>4</v>
      </c>
    </row>
    <row r="18" spans="1:6" ht="13.5" customHeight="1">
      <c r="A18" s="35"/>
      <c r="B18" s="13" t="s">
        <v>10</v>
      </c>
      <c r="C18" s="16" t="s">
        <v>0</v>
      </c>
      <c r="D18" s="17" t="s">
        <v>75</v>
      </c>
      <c r="E18" s="70"/>
      <c r="F18" s="43">
        <v>2</v>
      </c>
    </row>
    <row r="19" spans="1:6" ht="13.5" customHeight="1">
      <c r="A19" s="35"/>
      <c r="B19" s="11"/>
      <c r="C19" s="6" t="s">
        <v>11</v>
      </c>
      <c r="D19" s="4" t="s">
        <v>76</v>
      </c>
      <c r="E19" s="70"/>
      <c r="F19" s="41">
        <v>8</v>
      </c>
    </row>
    <row r="20" spans="1:6" ht="13.5" customHeight="1">
      <c r="A20" s="35"/>
      <c r="B20" s="11"/>
      <c r="C20" s="4" t="s">
        <v>3</v>
      </c>
      <c r="D20" s="5" t="s">
        <v>77</v>
      </c>
      <c r="E20" s="70"/>
      <c r="F20" s="41">
        <v>8</v>
      </c>
    </row>
    <row r="21" spans="1:6" ht="13.5" customHeight="1">
      <c r="A21" s="35"/>
      <c r="B21" s="12"/>
      <c r="C21" s="15" t="s">
        <v>4</v>
      </c>
      <c r="D21" s="15" t="s">
        <v>78</v>
      </c>
      <c r="E21" s="70"/>
      <c r="F21" s="42">
        <v>8</v>
      </c>
    </row>
    <row r="22" spans="1:6" ht="13.5" customHeight="1">
      <c r="A22" s="35"/>
      <c r="B22" s="13" t="s">
        <v>12</v>
      </c>
      <c r="C22" s="16" t="s">
        <v>13</v>
      </c>
      <c r="D22" s="17" t="s">
        <v>58</v>
      </c>
      <c r="E22" s="70"/>
      <c r="F22" s="43">
        <v>8</v>
      </c>
    </row>
    <row r="23" spans="1:6" ht="13.5" customHeight="1">
      <c r="A23" s="35"/>
      <c r="B23" s="12"/>
      <c r="C23" s="15" t="s">
        <v>14</v>
      </c>
      <c r="D23" s="19" t="s">
        <v>15</v>
      </c>
      <c r="E23" s="70"/>
      <c r="F23" s="42">
        <v>8</v>
      </c>
    </row>
    <row r="24" spans="1:6" ht="13.5" customHeight="1">
      <c r="A24" s="35"/>
      <c r="B24" s="13" t="s">
        <v>16</v>
      </c>
      <c r="C24" s="16" t="s">
        <v>0</v>
      </c>
      <c r="D24" s="17" t="s">
        <v>93</v>
      </c>
      <c r="E24" s="70"/>
      <c r="F24" s="43">
        <v>8</v>
      </c>
    </row>
    <row r="25" spans="1:6" ht="13.5" customHeight="1">
      <c r="A25" s="35"/>
      <c r="B25" s="11"/>
      <c r="C25" s="4" t="s">
        <v>3</v>
      </c>
      <c r="D25" s="5" t="s">
        <v>17</v>
      </c>
      <c r="E25" s="70"/>
      <c r="F25" s="41">
        <v>8</v>
      </c>
    </row>
    <row r="26" spans="1:6" ht="13.5" customHeight="1">
      <c r="A26" s="35"/>
      <c r="B26" s="11"/>
      <c r="C26" s="4" t="s">
        <v>18</v>
      </c>
      <c r="D26" s="5" t="s">
        <v>19</v>
      </c>
      <c r="E26" s="70"/>
      <c r="F26" s="41">
        <v>16</v>
      </c>
    </row>
    <row r="27" spans="1:6" ht="13.5" customHeight="1">
      <c r="A27" s="35"/>
      <c r="B27" s="11"/>
      <c r="C27" s="4" t="s">
        <v>5</v>
      </c>
      <c r="D27" s="5" t="s">
        <v>100</v>
      </c>
      <c r="E27" s="70"/>
      <c r="F27" s="41">
        <v>16</v>
      </c>
    </row>
    <row r="28" spans="1:6" ht="13.5" customHeight="1">
      <c r="A28" s="35"/>
      <c r="B28" s="11"/>
      <c r="C28" s="4" t="s">
        <v>20</v>
      </c>
      <c r="D28" s="5" t="s">
        <v>21</v>
      </c>
      <c r="E28" s="70"/>
      <c r="F28" s="41">
        <v>16</v>
      </c>
    </row>
    <row r="29" spans="1:6" ht="13.5" customHeight="1">
      <c r="A29" s="35"/>
      <c r="B29" s="12"/>
      <c r="C29" s="15" t="s">
        <v>22</v>
      </c>
      <c r="D29" s="15" t="s">
        <v>23</v>
      </c>
      <c r="E29" s="70"/>
      <c r="F29" s="42">
        <v>8</v>
      </c>
    </row>
    <row r="30" spans="1:6" ht="13.5" customHeight="1">
      <c r="A30" s="35"/>
      <c r="B30" s="13" t="s">
        <v>24</v>
      </c>
      <c r="C30" s="16" t="s">
        <v>0</v>
      </c>
      <c r="D30" s="17" t="s">
        <v>25</v>
      </c>
      <c r="E30" s="70"/>
      <c r="F30" s="43">
        <v>4</v>
      </c>
    </row>
    <row r="31" spans="1:6" ht="13.5" customHeight="1">
      <c r="A31" s="35"/>
      <c r="B31" s="11"/>
      <c r="C31" s="6" t="s">
        <v>1</v>
      </c>
      <c r="D31" s="4" t="s">
        <v>26</v>
      </c>
      <c r="E31" s="70"/>
      <c r="F31" s="41">
        <v>4</v>
      </c>
    </row>
    <row r="32" spans="1:6" ht="13.5" customHeight="1">
      <c r="A32" s="35"/>
      <c r="B32" s="11"/>
      <c r="C32" s="4" t="s">
        <v>3</v>
      </c>
      <c r="D32" s="5" t="s">
        <v>27</v>
      </c>
      <c r="E32" s="70"/>
      <c r="F32" s="41">
        <v>8</v>
      </c>
    </row>
    <row r="33" spans="1:6" ht="13.5" customHeight="1">
      <c r="A33" s="35"/>
      <c r="B33" s="11"/>
      <c r="C33" s="4" t="s">
        <v>4</v>
      </c>
      <c r="D33" s="5" t="s">
        <v>94</v>
      </c>
      <c r="E33" s="70"/>
      <c r="F33" s="41">
        <v>2</v>
      </c>
    </row>
    <row r="34" spans="1:6" ht="13.5" customHeight="1">
      <c r="A34" s="35"/>
      <c r="B34" s="11"/>
      <c r="C34" s="7" t="s">
        <v>34</v>
      </c>
      <c r="D34" s="7" t="s">
        <v>35</v>
      </c>
      <c r="E34" s="70"/>
      <c r="F34" s="41">
        <v>16</v>
      </c>
    </row>
    <row r="35" spans="1:6" ht="13.5" customHeight="1">
      <c r="A35" s="35"/>
      <c r="B35" s="11"/>
      <c r="C35" s="7" t="s">
        <v>6</v>
      </c>
      <c r="D35" s="7" t="s">
        <v>36</v>
      </c>
      <c r="E35" s="70"/>
      <c r="F35" s="41">
        <v>12</v>
      </c>
    </row>
    <row r="36" spans="1:6" ht="13.5" customHeight="1">
      <c r="A36" s="35"/>
      <c r="B36" s="11"/>
      <c r="C36" s="4" t="s">
        <v>22</v>
      </c>
      <c r="D36" s="5" t="s">
        <v>28</v>
      </c>
      <c r="E36" s="70"/>
      <c r="F36" s="41">
        <v>12</v>
      </c>
    </row>
    <row r="37" spans="1:6" ht="13.5" customHeight="1">
      <c r="A37" s="35"/>
      <c r="B37" s="12"/>
      <c r="C37" s="15" t="s">
        <v>37</v>
      </c>
      <c r="D37" s="19" t="s">
        <v>38</v>
      </c>
      <c r="E37" s="72"/>
      <c r="F37" s="42">
        <v>8</v>
      </c>
    </row>
    <row r="38" spans="1:6">
      <c r="A38" s="35"/>
      <c r="B38" s="13" t="s">
        <v>29</v>
      </c>
      <c r="C38" s="2" t="s">
        <v>0</v>
      </c>
      <c r="D38" s="16" t="s">
        <v>54</v>
      </c>
      <c r="E38" s="74" t="s">
        <v>101</v>
      </c>
      <c r="F38" s="43">
        <v>8</v>
      </c>
    </row>
    <row r="39" spans="1:6" ht="13.5" customHeight="1">
      <c r="A39" s="35"/>
      <c r="B39" s="11"/>
      <c r="C39" s="3" t="s">
        <v>39</v>
      </c>
      <c r="D39" s="6" t="s">
        <v>55</v>
      </c>
      <c r="E39" s="75"/>
      <c r="F39" s="41">
        <v>8</v>
      </c>
    </row>
    <row r="40" spans="1:6">
      <c r="A40" s="35"/>
      <c r="B40" s="11"/>
      <c r="C40" s="3" t="s">
        <v>3</v>
      </c>
      <c r="D40" s="4" t="s">
        <v>30</v>
      </c>
      <c r="E40" s="21" t="s">
        <v>61</v>
      </c>
      <c r="F40" s="41">
        <v>8</v>
      </c>
    </row>
    <row r="41" spans="1:6">
      <c r="A41" s="35"/>
      <c r="B41" s="11"/>
      <c r="C41" s="3" t="s">
        <v>40</v>
      </c>
      <c r="D41" s="3" t="s">
        <v>60</v>
      </c>
      <c r="E41" s="76" t="s">
        <v>83</v>
      </c>
      <c r="F41" s="41">
        <v>8</v>
      </c>
    </row>
    <row r="42" spans="1:6" ht="13.5" customHeight="1">
      <c r="A42" s="35"/>
      <c r="B42" s="11"/>
      <c r="C42" s="10" t="s">
        <v>41</v>
      </c>
      <c r="D42" s="10" t="s">
        <v>42</v>
      </c>
      <c r="E42" s="72"/>
      <c r="F42" s="44">
        <v>16</v>
      </c>
    </row>
    <row r="43" spans="1:6">
      <c r="A43" s="36" t="s">
        <v>56</v>
      </c>
      <c r="B43" s="2" t="s">
        <v>62</v>
      </c>
      <c r="C43" s="2"/>
      <c r="D43" s="2" t="s">
        <v>50</v>
      </c>
      <c r="E43" s="69" t="s">
        <v>65</v>
      </c>
      <c r="F43" s="43">
        <v>8</v>
      </c>
    </row>
    <row r="44" spans="1:6" ht="13.5" customHeight="1">
      <c r="A44" s="37"/>
      <c r="B44" s="3"/>
      <c r="C44" s="3"/>
      <c r="D44" s="3" t="s">
        <v>8</v>
      </c>
      <c r="E44" s="70"/>
      <c r="F44" s="41">
        <v>4</v>
      </c>
    </row>
    <row r="45" spans="1:6" ht="13.5" customHeight="1">
      <c r="A45" s="37"/>
      <c r="B45" s="3"/>
      <c r="C45" s="3"/>
      <c r="D45" s="3" t="s">
        <v>9</v>
      </c>
      <c r="E45" s="70"/>
      <c r="F45" s="41">
        <v>8</v>
      </c>
    </row>
    <row r="46" spans="1:6" ht="13.5" customHeight="1">
      <c r="A46" s="37"/>
      <c r="B46" s="3"/>
      <c r="C46" s="3"/>
      <c r="D46" s="3" t="s">
        <v>10</v>
      </c>
      <c r="E46" s="70"/>
      <c r="F46" s="41">
        <v>4</v>
      </c>
    </row>
    <row r="47" spans="1:6" ht="13.5" customHeight="1">
      <c r="A47" s="37"/>
      <c r="B47" s="3"/>
      <c r="C47" s="3"/>
      <c r="D47" s="3" t="s">
        <v>12</v>
      </c>
      <c r="E47" s="70"/>
      <c r="F47" s="41">
        <v>8</v>
      </c>
    </row>
    <row r="48" spans="1:6" ht="13.5" customHeight="1">
      <c r="A48" s="37"/>
      <c r="B48" s="3"/>
      <c r="C48" s="3"/>
      <c r="D48" s="3" t="s">
        <v>16</v>
      </c>
      <c r="E48" s="70"/>
      <c r="F48" s="41">
        <v>8</v>
      </c>
    </row>
    <row r="49" spans="1:6" ht="13.5" customHeight="1">
      <c r="A49" s="37"/>
      <c r="B49" s="3"/>
      <c r="C49" s="3"/>
      <c r="D49" s="3" t="s">
        <v>24</v>
      </c>
      <c r="E49" s="70"/>
      <c r="F49" s="41">
        <v>8</v>
      </c>
    </row>
    <row r="50" spans="1:6" ht="13.5" customHeight="1">
      <c r="A50" s="37"/>
      <c r="B50" s="10"/>
      <c r="C50" s="10"/>
      <c r="D50" s="10" t="s">
        <v>29</v>
      </c>
      <c r="E50" s="70"/>
      <c r="F50" s="44">
        <v>8</v>
      </c>
    </row>
    <row r="51" spans="1:6">
      <c r="A51" s="37"/>
      <c r="B51" s="2" t="s">
        <v>63</v>
      </c>
      <c r="C51" s="2"/>
      <c r="D51" s="2" t="s">
        <v>50</v>
      </c>
      <c r="E51" s="70"/>
      <c r="F51" s="43">
        <v>1</v>
      </c>
    </row>
    <row r="52" spans="1:6" ht="13.5" customHeight="1">
      <c r="A52" s="37"/>
      <c r="B52" s="3"/>
      <c r="C52" s="3"/>
      <c r="D52" s="3" t="s">
        <v>8</v>
      </c>
      <c r="E52" s="70"/>
      <c r="F52" s="41">
        <v>1</v>
      </c>
    </row>
    <row r="53" spans="1:6" ht="13.5" customHeight="1">
      <c r="A53" s="37"/>
      <c r="B53" s="3"/>
      <c r="C53" s="3"/>
      <c r="D53" s="3" t="s">
        <v>9</v>
      </c>
      <c r="E53" s="70"/>
      <c r="F53" s="41">
        <v>2</v>
      </c>
    </row>
    <row r="54" spans="1:6" ht="13.5" customHeight="1">
      <c r="A54" s="37"/>
      <c r="B54" s="3"/>
      <c r="C54" s="3"/>
      <c r="D54" s="3" t="s">
        <v>10</v>
      </c>
      <c r="E54" s="70"/>
      <c r="F54" s="41">
        <v>2</v>
      </c>
    </row>
    <row r="55" spans="1:6" ht="13.5" customHeight="1">
      <c r="A55" s="37"/>
      <c r="B55" s="3"/>
      <c r="C55" s="3"/>
      <c r="D55" s="3" t="s">
        <v>12</v>
      </c>
      <c r="E55" s="70"/>
      <c r="F55" s="41">
        <v>2</v>
      </c>
    </row>
    <row r="56" spans="1:6" ht="13.5" customHeight="1">
      <c r="A56" s="37"/>
      <c r="B56" s="3"/>
      <c r="C56" s="3"/>
      <c r="D56" s="3" t="s">
        <v>16</v>
      </c>
      <c r="E56" s="70"/>
      <c r="F56" s="41">
        <v>2</v>
      </c>
    </row>
    <row r="57" spans="1:6" ht="13.5" customHeight="1">
      <c r="A57" s="37"/>
      <c r="B57" s="3"/>
      <c r="C57" s="3"/>
      <c r="D57" s="3" t="s">
        <v>24</v>
      </c>
      <c r="E57" s="70"/>
      <c r="F57" s="41">
        <v>2</v>
      </c>
    </row>
    <row r="58" spans="1:6" ht="13.5" customHeight="1">
      <c r="A58" s="37"/>
      <c r="B58" s="8"/>
      <c r="C58" s="8"/>
      <c r="D58" s="8" t="s">
        <v>29</v>
      </c>
      <c r="E58" s="72"/>
      <c r="F58" s="42">
        <v>2</v>
      </c>
    </row>
    <row r="59" spans="1:6">
      <c r="A59" s="37"/>
      <c r="B59" s="2" t="s">
        <v>64</v>
      </c>
      <c r="C59" s="2"/>
      <c r="D59" s="2" t="s">
        <v>50</v>
      </c>
      <c r="E59" s="69" t="s">
        <v>66</v>
      </c>
      <c r="F59" s="43">
        <v>2</v>
      </c>
    </row>
    <row r="60" spans="1:6" ht="13.5" customHeight="1">
      <c r="A60" s="37"/>
      <c r="B60" s="3"/>
      <c r="C60" s="3"/>
      <c r="D60" s="3" t="s">
        <v>8</v>
      </c>
      <c r="E60" s="70"/>
      <c r="F60" s="41">
        <v>2</v>
      </c>
    </row>
    <row r="61" spans="1:6" ht="13.5" customHeight="1">
      <c r="A61" s="37"/>
      <c r="B61" s="3"/>
      <c r="C61" s="3"/>
      <c r="D61" s="3" t="s">
        <v>9</v>
      </c>
      <c r="E61" s="70"/>
      <c r="F61" s="41">
        <v>4</v>
      </c>
    </row>
    <row r="62" spans="1:6" ht="13.5" customHeight="1">
      <c r="A62" s="37"/>
      <c r="B62" s="3"/>
      <c r="C62" s="3"/>
      <c r="D62" s="3" t="s">
        <v>10</v>
      </c>
      <c r="E62" s="70"/>
      <c r="F62" s="41">
        <v>4</v>
      </c>
    </row>
    <row r="63" spans="1:6" ht="13.5" customHeight="1">
      <c r="A63" s="37"/>
      <c r="B63" s="3"/>
      <c r="C63" s="3"/>
      <c r="D63" s="3" t="s">
        <v>12</v>
      </c>
      <c r="E63" s="70"/>
      <c r="F63" s="41">
        <v>4</v>
      </c>
    </row>
    <row r="64" spans="1:6" ht="13.5" customHeight="1">
      <c r="A64" s="37"/>
      <c r="B64" s="3"/>
      <c r="C64" s="3"/>
      <c r="D64" s="3" t="s">
        <v>16</v>
      </c>
      <c r="E64" s="70"/>
      <c r="F64" s="41">
        <v>8</v>
      </c>
    </row>
    <row r="65" spans="1:6" ht="13.5" customHeight="1">
      <c r="A65" s="37"/>
      <c r="B65" s="3"/>
      <c r="C65" s="3"/>
      <c r="D65" s="3" t="s">
        <v>24</v>
      </c>
      <c r="E65" s="70"/>
      <c r="F65" s="41">
        <v>8</v>
      </c>
    </row>
    <row r="66" spans="1:6" ht="13.5" customHeight="1">
      <c r="A66" s="37"/>
      <c r="B66" s="8"/>
      <c r="C66" s="8"/>
      <c r="D66" s="8" t="s">
        <v>29</v>
      </c>
      <c r="E66" s="70"/>
      <c r="F66" s="42">
        <v>4</v>
      </c>
    </row>
    <row r="67" spans="1:6" ht="13.5" customHeight="1">
      <c r="A67" s="37"/>
      <c r="B67" s="2" t="s">
        <v>67</v>
      </c>
      <c r="C67" s="2"/>
      <c r="D67" s="2" t="s">
        <v>50</v>
      </c>
      <c r="E67" s="70"/>
      <c r="F67" s="43">
        <v>2</v>
      </c>
    </row>
    <row r="68" spans="1:6" ht="13.5" customHeight="1">
      <c r="A68" s="37"/>
      <c r="B68" s="3"/>
      <c r="C68" s="3"/>
      <c r="D68" s="3" t="s">
        <v>8</v>
      </c>
      <c r="E68" s="70"/>
      <c r="F68" s="41">
        <v>2</v>
      </c>
    </row>
    <row r="69" spans="1:6" ht="13.5" customHeight="1">
      <c r="A69" s="37"/>
      <c r="B69" s="3"/>
      <c r="C69" s="3"/>
      <c r="D69" s="3" t="s">
        <v>9</v>
      </c>
      <c r="E69" s="70"/>
      <c r="F69" s="41">
        <v>4</v>
      </c>
    </row>
    <row r="70" spans="1:6" ht="13.5" customHeight="1">
      <c r="A70" s="37"/>
      <c r="B70" s="3"/>
      <c r="C70" s="3"/>
      <c r="D70" s="3" t="s">
        <v>10</v>
      </c>
      <c r="E70" s="70"/>
      <c r="F70" s="41">
        <v>4</v>
      </c>
    </row>
    <row r="71" spans="1:6" ht="13.5" customHeight="1">
      <c r="A71" s="37"/>
      <c r="B71" s="3"/>
      <c r="C71" s="3"/>
      <c r="D71" s="3" t="s">
        <v>12</v>
      </c>
      <c r="E71" s="70"/>
      <c r="F71" s="41">
        <v>4</v>
      </c>
    </row>
    <row r="72" spans="1:6" ht="13.5" customHeight="1">
      <c r="A72" s="37"/>
      <c r="B72" s="3"/>
      <c r="C72" s="3"/>
      <c r="D72" s="3" t="s">
        <v>16</v>
      </c>
      <c r="E72" s="70"/>
      <c r="F72" s="41">
        <v>8</v>
      </c>
    </row>
    <row r="73" spans="1:6" ht="13.5" customHeight="1">
      <c r="A73" s="37"/>
      <c r="B73" s="3"/>
      <c r="C73" s="3"/>
      <c r="D73" s="3" t="s">
        <v>24</v>
      </c>
      <c r="E73" s="70"/>
      <c r="F73" s="41">
        <v>8</v>
      </c>
    </row>
    <row r="74" spans="1:6" ht="13.5" customHeight="1">
      <c r="A74" s="37"/>
      <c r="B74" s="8"/>
      <c r="C74" s="8"/>
      <c r="D74" s="8" t="s">
        <v>29</v>
      </c>
      <c r="E74" s="70"/>
      <c r="F74" s="42">
        <v>4</v>
      </c>
    </row>
    <row r="75" spans="1:6" ht="13.5" customHeight="1">
      <c r="A75" s="37"/>
      <c r="B75" s="9" t="s">
        <v>68</v>
      </c>
      <c r="C75" s="9"/>
      <c r="D75" s="9" t="s">
        <v>50</v>
      </c>
      <c r="E75" s="70"/>
      <c r="F75" s="43">
        <v>2</v>
      </c>
    </row>
    <row r="76" spans="1:6" ht="13.5" customHeight="1">
      <c r="A76" s="37"/>
      <c r="B76" s="3"/>
      <c r="C76" s="3"/>
      <c r="D76" s="3" t="s">
        <v>8</v>
      </c>
      <c r="E76" s="70"/>
      <c r="F76" s="41">
        <v>2</v>
      </c>
    </row>
    <row r="77" spans="1:6" ht="13.5" customHeight="1">
      <c r="A77" s="37"/>
      <c r="B77" s="3"/>
      <c r="C77" s="3"/>
      <c r="D77" s="3" t="s">
        <v>9</v>
      </c>
      <c r="E77" s="70"/>
      <c r="F77" s="41">
        <v>4</v>
      </c>
    </row>
    <row r="78" spans="1:6" ht="13.5" customHeight="1">
      <c r="A78" s="37"/>
      <c r="B78" s="3"/>
      <c r="C78" s="3"/>
      <c r="D78" s="3" t="s">
        <v>10</v>
      </c>
      <c r="E78" s="70"/>
      <c r="F78" s="41">
        <v>4</v>
      </c>
    </row>
    <row r="79" spans="1:6" ht="13.5" customHeight="1">
      <c r="A79" s="37"/>
      <c r="B79" s="3"/>
      <c r="C79" s="3"/>
      <c r="D79" s="3" t="s">
        <v>12</v>
      </c>
      <c r="E79" s="70"/>
      <c r="F79" s="41">
        <v>4</v>
      </c>
    </row>
    <row r="80" spans="1:6" ht="13.5" customHeight="1">
      <c r="A80" s="37"/>
      <c r="B80" s="3"/>
      <c r="C80" s="3"/>
      <c r="D80" s="3" t="s">
        <v>82</v>
      </c>
      <c r="E80" s="70"/>
      <c r="F80" s="41">
        <v>8</v>
      </c>
    </row>
    <row r="81" spans="1:6" ht="13.5" customHeight="1">
      <c r="A81" s="37"/>
      <c r="B81" s="3"/>
      <c r="C81" s="3"/>
      <c r="D81" s="3" t="s">
        <v>24</v>
      </c>
      <c r="E81" s="70"/>
      <c r="F81" s="41">
        <v>8</v>
      </c>
    </row>
    <row r="82" spans="1:6" ht="13.5" customHeight="1">
      <c r="A82" s="37"/>
      <c r="B82" s="3"/>
      <c r="C82" s="3"/>
      <c r="D82" s="8" t="s">
        <v>79</v>
      </c>
      <c r="E82" s="72"/>
      <c r="F82" s="42">
        <v>4</v>
      </c>
    </row>
    <row r="83" spans="1:6">
      <c r="A83" s="36" t="s">
        <v>57</v>
      </c>
      <c r="B83" s="2" t="s">
        <v>62</v>
      </c>
      <c r="C83" s="2"/>
      <c r="D83" s="2" t="s">
        <v>79</v>
      </c>
      <c r="E83" s="69" t="s">
        <v>69</v>
      </c>
      <c r="F83" s="43">
        <v>8</v>
      </c>
    </row>
    <row r="84" spans="1:6">
      <c r="A84" s="37"/>
      <c r="B84" s="3"/>
      <c r="C84" s="3"/>
      <c r="D84" s="3" t="s">
        <v>88</v>
      </c>
      <c r="E84" s="70"/>
      <c r="F84" s="41">
        <v>6</v>
      </c>
    </row>
    <row r="85" spans="1:6">
      <c r="A85" s="37"/>
      <c r="B85" s="3"/>
      <c r="C85" s="3"/>
      <c r="D85" s="29" t="s">
        <v>90</v>
      </c>
      <c r="E85" s="70"/>
      <c r="F85" s="41">
        <v>8</v>
      </c>
    </row>
    <row r="86" spans="1:6">
      <c r="A86" s="37"/>
      <c r="B86" s="3"/>
      <c r="C86" s="3"/>
      <c r="D86" s="29" t="s">
        <v>91</v>
      </c>
      <c r="E86" s="70"/>
      <c r="F86" s="41">
        <v>8</v>
      </c>
    </row>
    <row r="87" spans="1:6">
      <c r="A87" s="37"/>
      <c r="B87" s="3"/>
      <c r="C87" s="3"/>
      <c r="D87" s="29" t="s">
        <v>92</v>
      </c>
      <c r="E87" s="70"/>
      <c r="F87" s="41">
        <v>8</v>
      </c>
    </row>
    <row r="88" spans="1:6">
      <c r="A88" s="37"/>
      <c r="B88" s="3"/>
      <c r="C88" s="3"/>
      <c r="D88" s="3" t="s">
        <v>80</v>
      </c>
      <c r="E88" s="70"/>
      <c r="F88" s="41">
        <v>8</v>
      </c>
    </row>
    <row r="89" spans="1:6">
      <c r="A89" s="37"/>
      <c r="B89" s="3"/>
      <c r="C89" s="3"/>
      <c r="D89" s="3" t="s">
        <v>81</v>
      </c>
      <c r="E89" s="70"/>
      <c r="F89" s="41">
        <v>8</v>
      </c>
    </row>
    <row r="90" spans="1:6">
      <c r="A90" s="37"/>
      <c r="B90" s="10"/>
      <c r="C90" s="10"/>
      <c r="D90" s="3" t="s">
        <v>89</v>
      </c>
      <c r="E90" s="70"/>
      <c r="F90" s="44">
        <v>8</v>
      </c>
    </row>
    <row r="91" spans="1:6">
      <c r="A91" s="37"/>
      <c r="B91" s="2" t="s">
        <v>63</v>
      </c>
      <c r="C91" s="2"/>
      <c r="D91" s="2" t="s">
        <v>79</v>
      </c>
      <c r="E91" s="70"/>
      <c r="F91" s="43">
        <v>1</v>
      </c>
    </row>
    <row r="92" spans="1:6">
      <c r="A92" s="37"/>
      <c r="B92" s="3"/>
      <c r="C92" s="3"/>
      <c r="D92" s="3" t="s">
        <v>88</v>
      </c>
      <c r="E92" s="70"/>
      <c r="F92" s="41">
        <v>1</v>
      </c>
    </row>
    <row r="93" spans="1:6">
      <c r="A93" s="37"/>
      <c r="B93" s="3"/>
      <c r="C93" s="3"/>
      <c r="D93" s="29" t="s">
        <v>90</v>
      </c>
      <c r="E93" s="70"/>
      <c r="F93" s="41">
        <v>2</v>
      </c>
    </row>
    <row r="94" spans="1:6">
      <c r="A94" s="37"/>
      <c r="B94" s="3"/>
      <c r="C94" s="3"/>
      <c r="D94" s="29" t="s">
        <v>91</v>
      </c>
      <c r="E94" s="70"/>
      <c r="F94" s="41">
        <v>2</v>
      </c>
    </row>
    <row r="95" spans="1:6">
      <c r="A95" s="37"/>
      <c r="B95" s="3"/>
      <c r="C95" s="3"/>
      <c r="D95" s="29" t="s">
        <v>92</v>
      </c>
      <c r="E95" s="70"/>
      <c r="F95" s="41">
        <v>2</v>
      </c>
    </row>
    <row r="96" spans="1:6">
      <c r="A96" s="37"/>
      <c r="B96" s="3"/>
      <c r="C96" s="3"/>
      <c r="D96" s="3" t="s">
        <v>80</v>
      </c>
      <c r="E96" s="70"/>
      <c r="F96" s="41">
        <v>2</v>
      </c>
    </row>
    <row r="97" spans="1:6">
      <c r="A97" s="37"/>
      <c r="B97" s="3"/>
      <c r="C97" s="3"/>
      <c r="D97" s="3" t="s">
        <v>81</v>
      </c>
      <c r="E97" s="70"/>
      <c r="F97" s="41">
        <v>2</v>
      </c>
    </row>
    <row r="98" spans="1:6">
      <c r="A98" s="37"/>
      <c r="B98" s="8"/>
      <c r="C98" s="8"/>
      <c r="D98" s="3" t="s">
        <v>89</v>
      </c>
      <c r="E98" s="72"/>
      <c r="F98" s="42">
        <v>2</v>
      </c>
    </row>
    <row r="99" spans="1:6">
      <c r="A99" s="38"/>
      <c r="B99" s="2" t="s">
        <v>64</v>
      </c>
      <c r="C99" s="2"/>
      <c r="D99" s="2" t="s">
        <v>79</v>
      </c>
      <c r="E99" s="69" t="s">
        <v>70</v>
      </c>
      <c r="F99" s="43">
        <v>2</v>
      </c>
    </row>
    <row r="100" spans="1:6">
      <c r="A100" s="38"/>
      <c r="B100" s="3"/>
      <c r="C100" s="3"/>
      <c r="D100" s="3" t="s">
        <v>88</v>
      </c>
      <c r="E100" s="70"/>
      <c r="F100" s="41">
        <v>2</v>
      </c>
    </row>
    <row r="101" spans="1:6">
      <c r="A101" s="38"/>
      <c r="B101" s="3"/>
      <c r="C101" s="3"/>
      <c r="D101" s="29" t="s">
        <v>90</v>
      </c>
      <c r="E101" s="70"/>
      <c r="F101" s="41">
        <v>2</v>
      </c>
    </row>
    <row r="102" spans="1:6">
      <c r="A102" s="38"/>
      <c r="B102" s="3"/>
      <c r="C102" s="3"/>
      <c r="D102" s="29" t="s">
        <v>91</v>
      </c>
      <c r="E102" s="70"/>
      <c r="F102" s="41">
        <v>2</v>
      </c>
    </row>
    <row r="103" spans="1:6" ht="12.75" customHeight="1">
      <c r="A103" s="38"/>
      <c r="B103" s="3"/>
      <c r="C103" s="3"/>
      <c r="D103" s="29" t="s">
        <v>92</v>
      </c>
      <c r="E103" s="70"/>
      <c r="F103" s="41">
        <v>8</v>
      </c>
    </row>
    <row r="104" spans="1:6">
      <c r="A104" s="38"/>
      <c r="B104" s="3"/>
      <c r="C104" s="3"/>
      <c r="D104" s="3" t="s">
        <v>80</v>
      </c>
      <c r="E104" s="70"/>
      <c r="F104" s="41">
        <v>4</v>
      </c>
    </row>
    <row r="105" spans="1:6">
      <c r="A105" s="38"/>
      <c r="B105" s="3"/>
      <c r="C105" s="3"/>
      <c r="D105" s="3" t="s">
        <v>81</v>
      </c>
      <c r="E105" s="70"/>
      <c r="F105" s="41">
        <v>4</v>
      </c>
    </row>
    <row r="106" spans="1:6">
      <c r="A106" s="38"/>
      <c r="B106" s="8"/>
      <c r="C106" s="10"/>
      <c r="D106" s="3" t="s">
        <v>89</v>
      </c>
      <c r="E106" s="70"/>
      <c r="F106" s="44">
        <v>4</v>
      </c>
    </row>
    <row r="107" spans="1:6">
      <c r="A107" s="38"/>
      <c r="B107" s="2" t="s">
        <v>67</v>
      </c>
      <c r="C107" s="2"/>
      <c r="D107" s="2" t="s">
        <v>79</v>
      </c>
      <c r="E107" s="70"/>
      <c r="F107" s="43">
        <v>2</v>
      </c>
    </row>
    <row r="108" spans="1:6">
      <c r="A108" s="38"/>
      <c r="B108" s="3"/>
      <c r="C108" s="3"/>
      <c r="D108" s="3" t="s">
        <v>88</v>
      </c>
      <c r="E108" s="70"/>
      <c r="F108" s="41">
        <v>2</v>
      </c>
    </row>
    <row r="109" spans="1:6">
      <c r="A109" s="38"/>
      <c r="B109" s="3"/>
      <c r="C109" s="3"/>
      <c r="D109" s="29" t="s">
        <v>90</v>
      </c>
      <c r="E109" s="70"/>
      <c r="F109" s="41">
        <v>2</v>
      </c>
    </row>
    <row r="110" spans="1:6">
      <c r="A110" s="38"/>
      <c r="B110" s="3"/>
      <c r="C110" s="3"/>
      <c r="D110" s="29" t="s">
        <v>91</v>
      </c>
      <c r="E110" s="70"/>
      <c r="F110" s="41">
        <v>2</v>
      </c>
    </row>
    <row r="111" spans="1:6">
      <c r="A111" s="38"/>
      <c r="B111" s="3"/>
      <c r="C111" s="3"/>
      <c r="D111" s="29" t="s">
        <v>92</v>
      </c>
      <c r="E111" s="70"/>
      <c r="F111" s="41">
        <v>8</v>
      </c>
    </row>
    <row r="112" spans="1:6">
      <c r="A112" s="38"/>
      <c r="B112" s="3"/>
      <c r="C112" s="3"/>
      <c r="D112" s="3" t="s">
        <v>80</v>
      </c>
      <c r="E112" s="70"/>
      <c r="F112" s="41">
        <v>4</v>
      </c>
    </row>
    <row r="113" spans="1:6">
      <c r="A113" s="38"/>
      <c r="B113" s="3"/>
      <c r="C113" s="3"/>
      <c r="D113" s="3" t="s">
        <v>81</v>
      </c>
      <c r="E113" s="70"/>
      <c r="F113" s="41">
        <v>4</v>
      </c>
    </row>
    <row r="114" spans="1:6">
      <c r="A114" s="38"/>
      <c r="B114" s="8"/>
      <c r="C114" s="8"/>
      <c r="D114" s="3" t="s">
        <v>89</v>
      </c>
      <c r="E114" s="70"/>
      <c r="F114" s="44">
        <v>4</v>
      </c>
    </row>
    <row r="115" spans="1:6">
      <c r="A115" s="38"/>
      <c r="B115" s="9" t="s">
        <v>68</v>
      </c>
      <c r="C115" s="2"/>
      <c r="D115" s="2" t="s">
        <v>79</v>
      </c>
      <c r="E115" s="70"/>
      <c r="F115" s="43">
        <v>2</v>
      </c>
    </row>
    <row r="116" spans="1:6">
      <c r="A116" s="38"/>
      <c r="B116" s="3"/>
      <c r="C116" s="3"/>
      <c r="D116" s="3" t="s">
        <v>88</v>
      </c>
      <c r="E116" s="70"/>
      <c r="F116" s="41">
        <v>2</v>
      </c>
    </row>
    <row r="117" spans="1:6">
      <c r="A117" s="38"/>
      <c r="B117" s="3"/>
      <c r="C117" s="3"/>
      <c r="D117" s="29" t="s">
        <v>90</v>
      </c>
      <c r="E117" s="70"/>
      <c r="F117" s="41">
        <v>2</v>
      </c>
    </row>
    <row r="118" spans="1:6">
      <c r="A118" s="38"/>
      <c r="B118" s="3"/>
      <c r="C118" s="3"/>
      <c r="D118" s="29" t="s">
        <v>91</v>
      </c>
      <c r="E118" s="70"/>
      <c r="F118" s="41">
        <v>2</v>
      </c>
    </row>
    <row r="119" spans="1:6">
      <c r="A119" s="38"/>
      <c r="B119" s="3"/>
      <c r="C119" s="3"/>
      <c r="D119" s="29" t="s">
        <v>92</v>
      </c>
      <c r="E119" s="70"/>
      <c r="F119" s="41">
        <v>8</v>
      </c>
    </row>
    <row r="120" spans="1:6">
      <c r="A120" s="38"/>
      <c r="B120" s="3"/>
      <c r="C120" s="3"/>
      <c r="D120" s="3" t="s">
        <v>80</v>
      </c>
      <c r="E120" s="70"/>
      <c r="F120" s="41">
        <v>4</v>
      </c>
    </row>
    <row r="121" spans="1:6">
      <c r="A121" s="38"/>
      <c r="B121" s="3"/>
      <c r="C121" s="3"/>
      <c r="D121" s="3" t="s">
        <v>81</v>
      </c>
      <c r="E121" s="70"/>
      <c r="F121" s="41">
        <v>4</v>
      </c>
    </row>
    <row r="122" spans="1:6" ht="12.75" thickBot="1">
      <c r="A122" s="39"/>
      <c r="B122" s="40"/>
      <c r="C122" s="40"/>
      <c r="D122" s="40" t="s">
        <v>89</v>
      </c>
      <c r="E122" s="71"/>
      <c r="F122" s="45">
        <v>4</v>
      </c>
    </row>
  </sheetData>
  <autoFilter ref="A2:F122"/>
  <mergeCells count="7">
    <mergeCell ref="E99:E122"/>
    <mergeCell ref="E43:E58"/>
    <mergeCell ref="E59:E82"/>
    <mergeCell ref="E83:E98"/>
    <mergeCell ref="E3:E37"/>
    <mergeCell ref="E38:E39"/>
    <mergeCell ref="E41:E42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tabSelected="1" workbookViewId="0">
      <selection activeCell="C30" sqref="C30"/>
    </sheetView>
  </sheetViews>
  <sheetFormatPr defaultRowHeight="13.5"/>
  <cols>
    <col min="2" max="2" width="9.875" bestFit="1" customWidth="1"/>
    <col min="3" max="3" width="20.625" bestFit="1" customWidth="1"/>
    <col min="4" max="4" width="7.875" style="22" bestFit="1" customWidth="1"/>
    <col min="5" max="5" width="11.875" customWidth="1"/>
    <col min="6" max="6" width="21.875" bestFit="1" customWidth="1"/>
  </cols>
  <sheetData>
    <row r="1" spans="2:6" ht="14.25" thickBot="1"/>
    <row r="2" spans="2:6">
      <c r="B2" s="58" t="s">
        <v>121</v>
      </c>
      <c r="C2" s="59" t="s">
        <v>107</v>
      </c>
      <c r="D2" s="59" t="s">
        <v>111</v>
      </c>
      <c r="E2" s="60" t="s">
        <v>120</v>
      </c>
      <c r="F2" s="80" t="s">
        <v>126</v>
      </c>
    </row>
    <row r="3" spans="2:6">
      <c r="B3" s="54" t="s">
        <v>48</v>
      </c>
      <c r="C3" s="23" t="s">
        <v>108</v>
      </c>
      <c r="D3" s="25" t="s">
        <v>115</v>
      </c>
      <c r="E3" s="77">
        <v>4</v>
      </c>
      <c r="F3" s="81"/>
    </row>
    <row r="4" spans="2:6">
      <c r="B4" s="55"/>
      <c r="C4" s="24" t="s">
        <v>109</v>
      </c>
      <c r="D4" s="26" t="s">
        <v>115</v>
      </c>
      <c r="E4" s="78">
        <v>1</v>
      </c>
      <c r="F4" s="81"/>
    </row>
    <row r="5" spans="2:6">
      <c r="B5" s="55"/>
      <c r="C5" s="24" t="s">
        <v>116</v>
      </c>
      <c r="D5" s="26"/>
      <c r="E5" s="78"/>
      <c r="F5" s="81"/>
    </row>
    <row r="6" spans="2:6">
      <c r="B6" s="55"/>
      <c r="C6" s="24" t="s">
        <v>110</v>
      </c>
      <c r="D6" s="26"/>
      <c r="E6" s="78">
        <v>2</v>
      </c>
      <c r="F6" s="81"/>
    </row>
    <row r="7" spans="2:6">
      <c r="B7" s="55"/>
      <c r="C7" s="24" t="s">
        <v>60</v>
      </c>
      <c r="D7" s="26"/>
      <c r="E7" s="78">
        <v>2</v>
      </c>
      <c r="F7" s="81"/>
    </row>
    <row r="8" spans="2:6" ht="14.25" thickBot="1">
      <c r="B8" s="56"/>
      <c r="C8" s="57" t="s">
        <v>42</v>
      </c>
      <c r="D8" s="53" t="s">
        <v>117</v>
      </c>
      <c r="E8" s="79">
        <v>10</v>
      </c>
      <c r="F8" s="82"/>
    </row>
    <row r="9" spans="2:6">
      <c r="B9" s="83" t="s">
        <v>56</v>
      </c>
      <c r="C9" s="84" t="s">
        <v>112</v>
      </c>
      <c r="D9" s="89" t="s">
        <v>117</v>
      </c>
      <c r="E9" s="85" t="s">
        <v>123</v>
      </c>
      <c r="F9" s="86"/>
    </row>
    <row r="10" spans="2:6">
      <c r="B10" s="55"/>
      <c r="C10" s="24" t="s">
        <v>113</v>
      </c>
      <c r="D10" s="26" t="s">
        <v>118</v>
      </c>
      <c r="E10" s="78" t="s">
        <v>122</v>
      </c>
      <c r="F10" s="87" t="s">
        <v>137</v>
      </c>
    </row>
    <row r="11" spans="2:6" ht="14.25" thickBot="1">
      <c r="B11" s="56"/>
      <c r="C11" s="57" t="s">
        <v>114</v>
      </c>
      <c r="D11" s="53" t="s">
        <v>119</v>
      </c>
      <c r="E11" s="79" t="s">
        <v>136</v>
      </c>
      <c r="F11" s="88" t="s">
        <v>140</v>
      </c>
    </row>
    <row r="12" spans="2:6">
      <c r="B12" s="83" t="s">
        <v>57</v>
      </c>
      <c r="C12" s="84" t="s">
        <v>112</v>
      </c>
      <c r="D12" s="89" t="s">
        <v>117</v>
      </c>
      <c r="E12" s="85" t="s">
        <v>125</v>
      </c>
      <c r="F12" s="86"/>
    </row>
    <row r="13" spans="2:6">
      <c r="B13" s="55"/>
      <c r="C13" s="24" t="s">
        <v>113</v>
      </c>
      <c r="D13" s="26" t="s">
        <v>118</v>
      </c>
      <c r="E13" s="78" t="s">
        <v>124</v>
      </c>
      <c r="F13" s="87" t="s">
        <v>138</v>
      </c>
    </row>
    <row r="14" spans="2:6" ht="14.25" thickBot="1">
      <c r="B14" s="56"/>
      <c r="C14" s="57" t="s">
        <v>114</v>
      </c>
      <c r="D14" s="53" t="s">
        <v>119</v>
      </c>
      <c r="E14" s="79" t="s">
        <v>135</v>
      </c>
      <c r="F14" s="88" t="s">
        <v>139</v>
      </c>
    </row>
    <row r="20" spans="6:6">
      <c r="F20" t="s">
        <v>141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5"/>
  <sheetViews>
    <sheetView workbookViewId="0">
      <selection activeCell="C22" sqref="C22"/>
    </sheetView>
  </sheetViews>
  <sheetFormatPr defaultRowHeight="13.5"/>
  <sheetData>
    <row r="3" spans="2:6">
      <c r="B3" t="s">
        <v>127</v>
      </c>
    </row>
    <row r="5" spans="2:6">
      <c r="B5" s="22" t="s">
        <v>130</v>
      </c>
      <c r="C5" t="s">
        <v>129</v>
      </c>
    </row>
    <row r="6" spans="2:6">
      <c r="C6" t="s">
        <v>128</v>
      </c>
    </row>
    <row r="8" spans="2:6">
      <c r="B8" s="22" t="s">
        <v>131</v>
      </c>
      <c r="C8" t="s">
        <v>132</v>
      </c>
    </row>
    <row r="10" spans="2:6">
      <c r="B10" s="22" t="s">
        <v>133</v>
      </c>
      <c r="C10" t="s">
        <v>144</v>
      </c>
    </row>
    <row r="13" spans="2:6">
      <c r="B13" t="s">
        <v>134</v>
      </c>
    </row>
    <row r="15" spans="2:6">
      <c r="B15" t="s">
        <v>142</v>
      </c>
      <c r="C15" t="s">
        <v>143</v>
      </c>
      <c r="F15" t="s">
        <v>145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見積工数</vt:lpstr>
      <vt:lpstr>詳細見積</vt:lpstr>
      <vt:lpstr>品質評価</vt:lpstr>
      <vt:lpstr>制約事項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hao_isss</cp:lastModifiedBy>
  <dcterms:created xsi:type="dcterms:W3CDTF">2020-09-20T07:57:10Z</dcterms:created>
  <dcterms:modified xsi:type="dcterms:W3CDTF">2020-09-24T14:23:38Z</dcterms:modified>
</cp:coreProperties>
</file>