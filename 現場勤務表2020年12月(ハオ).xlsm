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<sst xmlns="http://schemas.openxmlformats.org/spreadsheetml/2006/main" count="92" uniqueCount="44">
  <si>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</si>
  <si>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</si>
  <si>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</si>
  <si>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</si>
  <si>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</si>
  <si>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</si>
  <si>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</si>
  <si>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</si>
  <si>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</si>
  <si>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</si>
  <si>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</si>
  <si>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</si>
  <si>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</si>
  <si>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</si>
  <si>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</si>
  <si>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</si>
  <si>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</si>
  <si>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</si>
  <si>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</si>
  <si>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</si>
  <si>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</si>
  <si>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</si>
  <si>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</si>
  <si>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</si>
  <si>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</si>
  <si>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</si>
  <si>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</si>
  <si>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</si>
  <si>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祝日</t>
  </si>
  <si>
    <t>12月</t>
  </si>
  <si>
    <t>(土)</t>
    <phoneticPr fontId="1"/>
  </si>
  <si>
    <t>(日)</t>
    <phoneticPr fontId="1"/>
  </si>
  <si>
    <t>(水)</t>
    <phoneticPr fontId="1"/>
  </si>
  <si>
    <t>ハオ補千</t>
    <rPh sb="2" eb="3">
      <t>ホ</t>
    </rPh>
    <rPh sb="3" eb="4">
      <t>セン</t>
    </rPh>
    <phoneticPr fontId="1"/>
  </si>
  <si>
    <t>単体テスト仕様作成＆マックPC</t>
    <rPh sb="0" eb="2">
      <t>タンタイ</t>
    </rPh>
    <rPh sb="5" eb="7">
      <t>シヨウ</t>
    </rPh>
    <rPh sb="7" eb="9">
      <t>サクセイ</t>
    </rPh>
    <phoneticPr fontId="1"/>
  </si>
  <si>
    <t>単体テスト仕様作成＆マックPC</t>
    <phoneticPr fontId="1"/>
  </si>
  <si>
    <t>マックPCのインストール調査</t>
    <rPh sb="12" eb="14">
      <t>チョウサ</t>
    </rPh>
    <phoneticPr fontId="1"/>
  </si>
  <si>
    <t>共通化の案を作成</t>
    <rPh sb="0" eb="2">
      <t>キョウツウ</t>
    </rPh>
    <rPh sb="2" eb="3">
      <t>カ</t>
    </rPh>
    <rPh sb="4" eb="5">
      <t>アン</t>
    </rPh>
    <rPh sb="6" eb="8">
      <t>サクセイ</t>
    </rPh>
    <phoneticPr fontId="1"/>
  </si>
  <si>
    <t>結合テスト仕様：動画/静止画作成</t>
    <rPh sb="14" eb="16">
      <t>サクセイ</t>
    </rPh>
    <phoneticPr fontId="1"/>
  </si>
  <si>
    <t>バグ修正</t>
    <rPh sb="2" eb="4">
      <t>シュウセイ</t>
    </rPh>
    <phoneticPr fontId="1"/>
  </si>
  <si>
    <t>仕様書更新</t>
    <rPh sb="0" eb="2">
      <t>シヨウ</t>
    </rPh>
    <rPh sb="2" eb="3">
      <t>ショ</t>
    </rPh>
    <rPh sb="3" eb="5">
      <t>コウシン</t>
    </rPh>
    <phoneticPr fontId="1"/>
  </si>
  <si>
    <t>iPhoneチームサポート</t>
    <phoneticPr fontId="1"/>
  </si>
  <si>
    <t>インストールのPackage作成</t>
    <rPh sb="14" eb="16">
      <t>サクセイ</t>
    </rPh>
    <phoneticPr fontId="1"/>
  </si>
  <si>
    <t>Package疎通テスト</t>
    <rPh sb="7" eb="9">
      <t>ソツウ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</si>
</sst>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="" xmlns:a16="http://schemas.microsoft.com/office/drawing/2014/main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I34" sqref="I34:O34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27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33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8" t="s">
        <v>15</v>
      </c>
      <c r="J11" s="49"/>
      <c r="K11" s="49"/>
      <c r="L11" s="49"/>
      <c r="M11" s="49"/>
      <c r="N11" s="49"/>
      <c r="O11" s="50"/>
    </row>
    <row r="12" spans="2:19" ht="17.25" customHeight="1">
      <c r="B12" s="23">
        <v>1</v>
      </c>
      <c r="C12" s="35" t="s">
        <v>25</v>
      </c>
      <c r="D12" s="33"/>
      <c r="E12" s="29">
        <v>0.3888888888888889</v>
      </c>
      <c r="F12" s="29">
        <v>0.85416666666666663</v>
      </c>
      <c r="G12" s="29"/>
      <c r="H12" s="30">
        <f>IF((F12-E12-G12), IF(OR(F12&gt;12,E12&gt;TIME(12,0,0)),F12-E12-G12,F12-E12-G12-O$9),"")</f>
        <v>0.42361111111111105</v>
      </c>
      <c r="I12" s="43" t="s">
        <v>36</v>
      </c>
      <c r="J12" s="44"/>
      <c r="K12" s="44"/>
      <c r="L12" s="44"/>
      <c r="M12" s="44"/>
      <c r="N12" s="44"/>
      <c r="O12" s="45"/>
      <c r="R12" s="40"/>
    </row>
    <row r="13" spans="2:19" ht="17.25" customHeight="1">
      <c r="B13" s="23">
        <v>2</v>
      </c>
      <c r="C13" s="35" t="s">
        <v>21</v>
      </c>
      <c r="D13" s="33"/>
      <c r="E13" s="29">
        <v>0.38194444444444442</v>
      </c>
      <c r="F13" s="29">
        <v>0.875</v>
      </c>
      <c r="G13" s="29"/>
      <c r="H13" s="30">
        <f t="shared" ref="H13:H42" si="0">IF((F13-E13-G13), IF(OR(F13&gt;12,E13&gt;TIME(12,0,0)),F13-E13-G13,F13-E13-G13-O$9),"")</f>
        <v>0.4513888888888889</v>
      </c>
      <c r="I13" s="43" t="s">
        <v>34</v>
      </c>
      <c r="J13" s="44"/>
      <c r="K13" s="44"/>
      <c r="L13" s="44"/>
      <c r="M13" s="44"/>
      <c r="N13" s="44"/>
      <c r="O13" s="45"/>
      <c r="R13" s="40"/>
    </row>
    <row r="14" spans="2:19" ht="17.25" customHeight="1">
      <c r="B14" s="23">
        <v>3</v>
      </c>
      <c r="C14" s="35" t="s">
        <v>22</v>
      </c>
      <c r="D14" s="33"/>
      <c r="E14" s="29">
        <v>0.3888888888888889</v>
      </c>
      <c r="F14" s="29">
        <v>0.91666666666666663</v>
      </c>
      <c r="G14" s="29"/>
      <c r="H14" s="30">
        <f t="shared" si="0"/>
        <v>0.48611111111111099</v>
      </c>
      <c r="I14" s="43" t="s">
        <v>35</v>
      </c>
      <c r="J14" s="44"/>
      <c r="K14" s="44"/>
      <c r="L14" s="44"/>
      <c r="M14" s="44"/>
      <c r="N14" s="44"/>
      <c r="O14" s="45"/>
      <c r="R14" s="40"/>
    </row>
    <row r="15" spans="2:19" ht="17.25" customHeight="1">
      <c r="B15" s="23">
        <v>4</v>
      </c>
      <c r="C15" s="35" t="s">
        <v>23</v>
      </c>
      <c r="D15" s="33"/>
      <c r="E15" s="29">
        <v>0.3888888888888889</v>
      </c>
      <c r="F15" s="29">
        <v>0.875</v>
      </c>
      <c r="G15" s="29"/>
      <c r="H15" s="30">
        <f t="shared" si="0"/>
        <v>0.44444444444444442</v>
      </c>
      <c r="I15" s="43" t="s">
        <v>35</v>
      </c>
      <c r="J15" s="44"/>
      <c r="K15" s="44"/>
      <c r="L15" s="44"/>
      <c r="M15" s="44"/>
      <c r="N15" s="44"/>
      <c r="O15" s="45"/>
      <c r="R15" s="40"/>
    </row>
    <row r="16" spans="2:19" ht="17.25" customHeight="1">
      <c r="B16" s="23">
        <v>5</v>
      </c>
      <c r="C16" s="36" t="s">
        <v>30</v>
      </c>
      <c r="D16" s="34" t="s">
        <v>9</v>
      </c>
      <c r="E16" s="29">
        <v>0.41666666666666669</v>
      </c>
      <c r="F16" s="29">
        <v>0.83333333333333337</v>
      </c>
      <c r="G16" s="29"/>
      <c r="H16" s="30">
        <f t="shared" si="0"/>
        <v>0.375</v>
      </c>
      <c r="I16" s="43" t="s">
        <v>35</v>
      </c>
      <c r="J16" s="44"/>
      <c r="K16" s="44"/>
      <c r="L16" s="44"/>
      <c r="M16" s="44"/>
      <c r="N16" s="44"/>
      <c r="O16" s="45"/>
      <c r="R16" s="40"/>
    </row>
    <row r="17" spans="2:18" ht="17.25" customHeight="1">
      <c r="B17" s="23">
        <v>6</v>
      </c>
      <c r="C17" s="36" t="s">
        <v>31</v>
      </c>
      <c r="D17" s="34" t="s">
        <v>9</v>
      </c>
      <c r="E17" s="29">
        <v>0.41666666666666669</v>
      </c>
      <c r="F17" s="29">
        <v>0.83333333333333337</v>
      </c>
      <c r="G17" s="29"/>
      <c r="H17" s="30">
        <f t="shared" si="0"/>
        <v>0.375</v>
      </c>
      <c r="I17" s="43" t="s">
        <v>35</v>
      </c>
      <c r="J17" s="44"/>
      <c r="K17" s="44"/>
      <c r="L17" s="44"/>
      <c r="M17" s="44"/>
      <c r="N17" s="44"/>
      <c r="O17" s="45"/>
      <c r="R17" s="40"/>
    </row>
    <row r="18" spans="2:18" ht="17.25" customHeight="1">
      <c r="B18" s="23">
        <v>7</v>
      </c>
      <c r="C18" s="35" t="s">
        <v>24</v>
      </c>
      <c r="D18" s="33"/>
      <c r="E18" s="29">
        <v>0.375</v>
      </c>
      <c r="F18" s="29">
        <v>0.91666666666666663</v>
      </c>
      <c r="G18" s="29"/>
      <c r="H18" s="30">
        <f t="shared" si="0"/>
        <v>0.49999999999999994</v>
      </c>
      <c r="I18" s="43" t="s">
        <v>35</v>
      </c>
      <c r="J18" s="44"/>
      <c r="K18" s="44"/>
      <c r="L18" s="44"/>
      <c r="M18" s="44"/>
      <c r="N18" s="44"/>
      <c r="O18" s="45"/>
      <c r="Q18" s="39"/>
      <c r="R18" s="40"/>
    </row>
    <row r="19" spans="2:18" ht="17.25" customHeight="1">
      <c r="B19" s="23">
        <v>8</v>
      </c>
      <c r="C19" s="35" t="s">
        <v>25</v>
      </c>
      <c r="D19" s="33"/>
      <c r="E19" s="29">
        <v>0.38194444444444442</v>
      </c>
      <c r="F19" s="29">
        <v>0.89583333333333337</v>
      </c>
      <c r="G19" s="29"/>
      <c r="H19" s="30">
        <f t="shared" si="0"/>
        <v>0.47222222222222227</v>
      </c>
      <c r="I19" s="43" t="s">
        <v>35</v>
      </c>
      <c r="J19" s="44"/>
      <c r="K19" s="44"/>
      <c r="L19" s="44"/>
      <c r="M19" s="44"/>
      <c r="N19" s="44"/>
      <c r="O19" s="45"/>
      <c r="R19" s="40"/>
    </row>
    <row r="20" spans="2:18" ht="17.25" customHeight="1">
      <c r="B20" s="23">
        <v>9</v>
      </c>
      <c r="C20" s="35" t="s">
        <v>21</v>
      </c>
      <c r="D20" s="33"/>
      <c r="E20" s="29">
        <v>0.38194444444444442</v>
      </c>
      <c r="F20" s="29">
        <v>0.875</v>
      </c>
      <c r="G20" s="29"/>
      <c r="H20" s="30">
        <f t="shared" si="0"/>
        <v>0.4513888888888889</v>
      </c>
      <c r="I20" s="43" t="s">
        <v>35</v>
      </c>
      <c r="J20" s="44"/>
      <c r="K20" s="44"/>
      <c r="L20" s="44"/>
      <c r="M20" s="44"/>
      <c r="N20" s="44"/>
      <c r="O20" s="45"/>
      <c r="R20" s="40"/>
    </row>
    <row r="21" spans="2:18" ht="17.25" customHeight="1">
      <c r="B21" s="23">
        <v>10</v>
      </c>
      <c r="C21" s="35" t="s">
        <v>22</v>
      </c>
      <c r="D21" s="33"/>
      <c r="E21" s="29">
        <v>0.41666666666666669</v>
      </c>
      <c r="F21" s="29">
        <v>0.89583333333333337</v>
      </c>
      <c r="G21" s="29"/>
      <c r="H21" s="30">
        <f t="shared" si="0"/>
        <v>0.4375</v>
      </c>
      <c r="I21" s="43" t="s">
        <v>35</v>
      </c>
      <c r="J21" s="44"/>
      <c r="K21" s="44"/>
      <c r="L21" s="44"/>
      <c r="M21" s="44"/>
      <c r="N21" s="44"/>
      <c r="O21" s="45"/>
      <c r="R21" s="40"/>
    </row>
    <row r="22" spans="2:18" ht="17.25" customHeight="1">
      <c r="B22" s="23">
        <v>11</v>
      </c>
      <c r="C22" s="35" t="s">
        <v>23</v>
      </c>
      <c r="D22" s="33"/>
      <c r="E22" s="29">
        <v>0.38194444444444442</v>
      </c>
      <c r="F22" s="29">
        <v>0.875</v>
      </c>
      <c r="G22" s="29"/>
      <c r="H22" s="30">
        <f t="shared" si="0"/>
        <v>0.4513888888888889</v>
      </c>
      <c r="I22" s="43" t="s">
        <v>35</v>
      </c>
      <c r="J22" s="44"/>
      <c r="K22" s="44"/>
      <c r="L22" s="44"/>
      <c r="M22" s="44"/>
      <c r="N22" s="44"/>
      <c r="O22" s="45"/>
      <c r="R22" s="40"/>
    </row>
    <row r="23" spans="2:18" ht="17.25" customHeight="1">
      <c r="B23" s="23">
        <v>12</v>
      </c>
      <c r="C23" s="36" t="s">
        <v>30</v>
      </c>
      <c r="D23" s="34" t="s">
        <v>9</v>
      </c>
      <c r="E23" s="29">
        <v>0.41666666666666669</v>
      </c>
      <c r="F23" s="29">
        <v>0.83333333333333337</v>
      </c>
      <c r="G23" s="29"/>
      <c r="H23" s="30">
        <f t="shared" si="0"/>
        <v>0.375</v>
      </c>
      <c r="I23" s="43" t="s">
        <v>37</v>
      </c>
      <c r="J23" s="44"/>
      <c r="K23" s="44"/>
      <c r="L23" s="44"/>
      <c r="M23" s="44"/>
      <c r="N23" s="44"/>
      <c r="O23" s="45"/>
      <c r="P23" s="39"/>
      <c r="R23" s="40"/>
    </row>
    <row r="24" spans="2:18" ht="17.25" customHeight="1">
      <c r="B24" s="23">
        <v>13</v>
      </c>
      <c r="C24" s="36" t="s">
        <v>31</v>
      </c>
      <c r="D24" s="34" t="s">
        <v>9</v>
      </c>
      <c r="E24" s="29">
        <v>0.625</v>
      </c>
      <c r="F24" s="29">
        <v>0.91666666666666663</v>
      </c>
      <c r="G24" s="29"/>
      <c r="H24" s="30">
        <f t="shared" si="0"/>
        <v>0.29166666666666663</v>
      </c>
      <c r="I24" s="43" t="s">
        <v>37</v>
      </c>
      <c r="J24" s="44"/>
      <c r="K24" s="44"/>
      <c r="L24" s="44"/>
      <c r="M24" s="44"/>
      <c r="N24" s="44"/>
      <c r="O24" s="45"/>
      <c r="R24" s="40"/>
    </row>
    <row r="25" spans="2:18" ht="17.25" customHeight="1">
      <c r="B25" s="23">
        <v>14</v>
      </c>
      <c r="C25" s="35" t="s">
        <v>24</v>
      </c>
      <c r="D25" s="33"/>
      <c r="E25" s="29">
        <v>0.3888888888888889</v>
      </c>
      <c r="F25" s="29">
        <v>0.89583333333333337</v>
      </c>
      <c r="G25" s="29"/>
      <c r="H25" s="30">
        <f t="shared" si="0"/>
        <v>0.46527777777777773</v>
      </c>
      <c r="I25" s="43" t="s">
        <v>38</v>
      </c>
      <c r="J25" s="44"/>
      <c r="K25" s="44"/>
      <c r="L25" s="44"/>
      <c r="M25" s="44"/>
      <c r="N25" s="44"/>
      <c r="O25" s="45"/>
      <c r="R25" s="40"/>
    </row>
    <row r="26" spans="2:18" ht="17.25" customHeight="1">
      <c r="B26" s="23">
        <v>15</v>
      </c>
      <c r="C26" s="35" t="s">
        <v>25</v>
      </c>
      <c r="D26" s="33"/>
      <c r="E26" s="29">
        <v>0.39583333333333331</v>
      </c>
      <c r="F26" s="29">
        <v>0.89583333333333337</v>
      </c>
      <c r="G26" s="29"/>
      <c r="H26" s="30">
        <f t="shared" si="0"/>
        <v>0.45833333333333331</v>
      </c>
      <c r="I26" s="43" t="s">
        <v>38</v>
      </c>
      <c r="J26" s="44"/>
      <c r="K26" s="44"/>
      <c r="L26" s="44"/>
      <c r="M26" s="44"/>
      <c r="N26" s="44"/>
      <c r="O26" s="45"/>
      <c r="R26" s="40"/>
    </row>
    <row r="27" spans="2:18" ht="17.25" customHeight="1">
      <c r="B27" s="23">
        <v>16</v>
      </c>
      <c r="C27" s="35" t="s">
        <v>21</v>
      </c>
      <c r="D27" s="33"/>
      <c r="E27" s="29">
        <v>0.39583333333333331</v>
      </c>
      <c r="F27" s="29">
        <v>0.89583333333333337</v>
      </c>
      <c r="G27" s="29"/>
      <c r="H27" s="30">
        <f t="shared" si="0"/>
        <v>0.45833333333333331</v>
      </c>
      <c r="I27" s="43" t="s">
        <v>38</v>
      </c>
      <c r="J27" s="44"/>
      <c r="K27" s="44"/>
      <c r="L27" s="44"/>
      <c r="M27" s="44"/>
      <c r="N27" s="44"/>
      <c r="O27" s="45"/>
    </row>
    <row r="28" spans="2:18" ht="17.25" customHeight="1">
      <c r="B28" s="23">
        <v>17</v>
      </c>
      <c r="C28" s="35" t="s">
        <v>22</v>
      </c>
      <c r="D28" s="33"/>
      <c r="E28" s="29">
        <v>0.39583333333333331</v>
      </c>
      <c r="F28" s="29">
        <v>0.89583333333333337</v>
      </c>
      <c r="G28" s="29"/>
      <c r="H28" s="30">
        <f t="shared" si="0"/>
        <v>0.45833333333333331</v>
      </c>
      <c r="I28" s="43" t="s">
        <v>38</v>
      </c>
      <c r="J28" s="44"/>
      <c r="K28" s="44"/>
      <c r="L28" s="44"/>
      <c r="M28" s="44"/>
      <c r="N28" s="44"/>
      <c r="O28" s="45"/>
    </row>
    <row r="29" spans="2:18" ht="17.25" customHeight="1">
      <c r="B29" s="23">
        <v>18</v>
      </c>
      <c r="C29" s="35" t="s">
        <v>23</v>
      </c>
      <c r="D29" s="33"/>
      <c r="E29" s="29">
        <v>0.39583333333333331</v>
      </c>
      <c r="F29" s="29">
        <v>0.89583333333333337</v>
      </c>
      <c r="G29" s="29"/>
      <c r="H29" s="30">
        <f t="shared" si="0"/>
        <v>0.45833333333333331</v>
      </c>
      <c r="I29" s="43" t="s">
        <v>38</v>
      </c>
      <c r="J29" s="44"/>
      <c r="K29" s="44"/>
      <c r="L29" s="44"/>
      <c r="M29" s="44"/>
      <c r="N29" s="44"/>
      <c r="O29" s="45"/>
    </row>
    <row r="30" spans="2:18" ht="17.25" customHeight="1">
      <c r="B30" s="23">
        <v>19</v>
      </c>
      <c r="C30" s="36" t="s">
        <v>30</v>
      </c>
      <c r="D30" s="34" t="s">
        <v>9</v>
      </c>
      <c r="E30" s="29"/>
      <c r="F30" s="29"/>
      <c r="G30" s="29"/>
      <c r="H30" s="30" t="str">
        <f t="shared" si="0"/>
        <v/>
      </c>
      <c r="I30" s="43"/>
      <c r="J30" s="44"/>
      <c r="K30" s="44"/>
      <c r="L30" s="44"/>
      <c r="M30" s="44"/>
      <c r="N30" s="44"/>
      <c r="O30" s="45"/>
    </row>
    <row r="31" spans="2:18" ht="17.25" customHeight="1">
      <c r="B31" s="23">
        <v>20</v>
      </c>
      <c r="C31" s="36" t="s">
        <v>31</v>
      </c>
      <c r="D31" s="34" t="s">
        <v>9</v>
      </c>
      <c r="E31" s="29">
        <v>0.41666666666666669</v>
      </c>
      <c r="F31" s="29">
        <v>0.83333333333333337</v>
      </c>
      <c r="G31" s="29"/>
      <c r="H31" s="30">
        <f t="shared" si="0"/>
        <v>0.375</v>
      </c>
      <c r="I31" s="43" t="s">
        <v>38</v>
      </c>
      <c r="J31" s="44"/>
      <c r="K31" s="44"/>
      <c r="L31" s="44"/>
      <c r="M31" s="44"/>
      <c r="N31" s="44"/>
      <c r="O31" s="45"/>
    </row>
    <row r="32" spans="2:18" ht="17.25" customHeight="1">
      <c r="B32" s="23">
        <v>21</v>
      </c>
      <c r="C32" s="35" t="s">
        <v>24</v>
      </c>
      <c r="D32" s="33"/>
      <c r="E32" s="29">
        <v>0.41666666666666669</v>
      </c>
      <c r="F32" s="29">
        <v>0.89583333333333337</v>
      </c>
      <c r="G32" s="29"/>
      <c r="H32" s="30">
        <f t="shared" si="0"/>
        <v>0.4375</v>
      </c>
      <c r="I32" s="43" t="s">
        <v>38</v>
      </c>
      <c r="J32" s="44"/>
      <c r="K32" s="44"/>
      <c r="L32" s="44"/>
      <c r="M32" s="44"/>
      <c r="N32" s="44"/>
      <c r="O32" s="45"/>
    </row>
    <row r="33" spans="2:15" ht="17.25" customHeight="1">
      <c r="B33" s="23">
        <v>22</v>
      </c>
      <c r="C33" s="35" t="s">
        <v>25</v>
      </c>
      <c r="D33" s="33"/>
      <c r="E33" s="29">
        <v>0.38194444444444442</v>
      </c>
      <c r="F33" s="29">
        <v>0.83333333333333337</v>
      </c>
      <c r="G33" s="29"/>
      <c r="H33" s="30">
        <f t="shared" si="0"/>
        <v>0.40972222222222227</v>
      </c>
      <c r="I33" s="43" t="s">
        <v>38</v>
      </c>
      <c r="J33" s="44"/>
      <c r="K33" s="44"/>
      <c r="L33" s="44"/>
      <c r="M33" s="44"/>
      <c r="N33" s="44"/>
      <c r="O33" s="45"/>
    </row>
    <row r="34" spans="2:15" ht="17.25" customHeight="1">
      <c r="B34" s="23">
        <v>23</v>
      </c>
      <c r="C34" s="36" t="s">
        <v>32</v>
      </c>
      <c r="D34" s="34" t="s">
        <v>28</v>
      </c>
      <c r="E34" s="29">
        <v>0.38194444444444442</v>
      </c>
      <c r="F34" s="29">
        <v>0.94791666666666663</v>
      </c>
      <c r="G34" s="29"/>
      <c r="H34" s="30">
        <f t="shared" si="0"/>
        <v>0.52430555555555558</v>
      </c>
      <c r="I34" s="43" t="s">
        <v>40</v>
      </c>
      <c r="J34" s="44"/>
      <c r="K34" s="44"/>
      <c r="L34" s="44"/>
      <c r="M34" s="44"/>
      <c r="N34" s="44"/>
      <c r="O34" s="45"/>
    </row>
    <row r="35" spans="2:15" ht="17.25" customHeight="1">
      <c r="B35" s="23">
        <v>24</v>
      </c>
      <c r="C35" s="35" t="s">
        <v>22</v>
      </c>
      <c r="D35" s="33"/>
      <c r="E35" s="29">
        <v>0.38194444444444442</v>
      </c>
      <c r="F35" s="29">
        <v>0.85416666666666663</v>
      </c>
      <c r="G35" s="29"/>
      <c r="H35" s="30">
        <f t="shared" si="0"/>
        <v>0.43055555555555552</v>
      </c>
      <c r="I35" s="43" t="s">
        <v>39</v>
      </c>
      <c r="J35" s="44"/>
      <c r="K35" s="44"/>
      <c r="L35" s="44"/>
      <c r="M35" s="44"/>
      <c r="N35" s="44"/>
      <c r="O35" s="45"/>
    </row>
    <row r="36" spans="2:15" ht="17.25" customHeight="1">
      <c r="B36" s="23">
        <v>25</v>
      </c>
      <c r="C36" s="35" t="s">
        <v>23</v>
      </c>
      <c r="D36" s="33"/>
      <c r="E36" s="29">
        <v>0.38194444444444442</v>
      </c>
      <c r="F36" s="29">
        <v>0.8125</v>
      </c>
      <c r="G36" s="29"/>
      <c r="H36" s="30">
        <f t="shared" si="0"/>
        <v>0.3888888888888889</v>
      </c>
      <c r="I36" s="43" t="s">
        <v>39</v>
      </c>
      <c r="J36" s="44"/>
      <c r="K36" s="44"/>
      <c r="L36" s="44"/>
      <c r="M36" s="44"/>
      <c r="N36" s="44"/>
      <c r="O36" s="45"/>
    </row>
    <row r="37" spans="2:15" ht="17.25" customHeight="1">
      <c r="B37" s="23">
        <v>26</v>
      </c>
      <c r="C37" s="36" t="s">
        <v>30</v>
      </c>
      <c r="D37" s="34" t="s">
        <v>9</v>
      </c>
      <c r="E37" s="29">
        <v>0.41666666666666669</v>
      </c>
      <c r="F37" s="29">
        <v>0.91666666666666663</v>
      </c>
      <c r="G37" s="29"/>
      <c r="H37" s="30">
        <f t="shared" si="0"/>
        <v>0.45833333333333326</v>
      </c>
      <c r="I37" s="43" t="s">
        <v>41</v>
      </c>
      <c r="J37" s="44"/>
      <c r="K37" s="44"/>
      <c r="L37" s="44"/>
      <c r="M37" s="44"/>
      <c r="N37" s="44"/>
      <c r="O37" s="45"/>
    </row>
    <row r="38" spans="2:15" ht="17.25" customHeight="1">
      <c r="B38" s="23">
        <v>27</v>
      </c>
      <c r="C38" s="36" t="s">
        <v>31</v>
      </c>
      <c r="D38" s="34" t="s">
        <v>9</v>
      </c>
      <c r="E38" s="29">
        <v>0.41666666666666669</v>
      </c>
      <c r="F38" s="29">
        <v>0.91666666666666663</v>
      </c>
      <c r="G38" s="29"/>
      <c r="H38" s="30">
        <f t="shared" si="0"/>
        <v>0.45833333333333326</v>
      </c>
      <c r="I38" s="43" t="s">
        <v>41</v>
      </c>
      <c r="J38" s="44"/>
      <c r="K38" s="44"/>
      <c r="L38" s="44"/>
      <c r="M38" s="44"/>
      <c r="N38" s="44"/>
      <c r="O38" s="45"/>
    </row>
    <row r="39" spans="2:15" ht="17.25" customHeight="1">
      <c r="B39" s="23">
        <v>28</v>
      </c>
      <c r="C39" s="35" t="s">
        <v>24</v>
      </c>
      <c r="D39" s="33"/>
      <c r="E39" s="29">
        <v>0.38194444444444442</v>
      </c>
      <c r="F39" s="29">
        <v>0.91666666666666663</v>
      </c>
      <c r="G39" s="29"/>
      <c r="H39" s="30">
        <f t="shared" si="0"/>
        <v>0.49305555555555552</v>
      </c>
      <c r="I39" s="43" t="s">
        <v>42</v>
      </c>
      <c r="J39" s="44"/>
      <c r="K39" s="44"/>
      <c r="L39" s="44"/>
      <c r="M39" s="44"/>
      <c r="N39" s="44"/>
      <c r="O39" s="45"/>
    </row>
    <row r="40" spans="2:15" ht="17.25" customHeight="1">
      <c r="B40" s="23">
        <v>29</v>
      </c>
      <c r="C40" s="35" t="s">
        <v>25</v>
      </c>
      <c r="D40" s="33"/>
      <c r="E40" s="29">
        <v>0.38194444444444442</v>
      </c>
      <c r="F40" s="29">
        <v>0.66666666666666663</v>
      </c>
      <c r="G40" s="29"/>
      <c r="H40" s="30">
        <f t="shared" si="0"/>
        <v>0.24305555555555555</v>
      </c>
      <c r="I40" s="43" t="s">
        <v>43</v>
      </c>
      <c r="J40" s="44"/>
      <c r="K40" s="44"/>
      <c r="L40" s="44"/>
      <c r="M40" s="44"/>
      <c r="N40" s="44"/>
      <c r="O40" s="45"/>
    </row>
    <row r="41" spans="2:15" ht="17.25" customHeight="1">
      <c r="B41" s="23">
        <v>30</v>
      </c>
      <c r="C41" s="35" t="s">
        <v>21</v>
      </c>
      <c r="D41" s="33"/>
      <c r="E41" s="29"/>
      <c r="F41" s="29"/>
      <c r="G41" s="29"/>
      <c r="H41" s="30" t="str">
        <f t="shared" si="0"/>
        <v/>
      </c>
      <c r="I41" s="43"/>
      <c r="J41" s="44"/>
      <c r="K41" s="44"/>
      <c r="L41" s="44"/>
      <c r="M41" s="44"/>
      <c r="N41" s="44"/>
      <c r="O41" s="45"/>
    </row>
    <row r="42" spans="2:15" ht="17.25" customHeight="1">
      <c r="B42" s="23">
        <v>31</v>
      </c>
      <c r="C42" s="35" t="s">
        <v>22</v>
      </c>
      <c r="D42" s="33"/>
      <c r="E42" s="29"/>
      <c r="F42" s="29"/>
      <c r="G42" s="29"/>
      <c r="H42" s="30" t="str">
        <f t="shared" si="0"/>
        <v/>
      </c>
      <c r="I42" s="43"/>
      <c r="J42" s="44"/>
      <c r="K42" s="44"/>
      <c r="L42" s="44"/>
      <c r="M42" s="44"/>
      <c r="N42" s="44"/>
      <c r="O42" s="45"/>
    </row>
    <row r="43" spans="2:15" ht="18" customHeight="1" thickBot="1">
      <c r="B43" s="54" t="s">
        <v>16</v>
      </c>
      <c r="C43" s="55"/>
      <c r="D43" s="55"/>
      <c r="E43" s="55"/>
      <c r="F43" s="55"/>
      <c r="G43" s="55"/>
      <c r="H43" s="38">
        <f>IF(SUM(H12:H42)=0,"",SUM(H12:H42))</f>
        <v>12.052083333333332</v>
      </c>
      <c r="I43" s="51"/>
      <c r="J43" s="52"/>
      <c r="K43" s="52"/>
      <c r="L43" s="52"/>
      <c r="M43" s="52"/>
      <c r="N43" s="52"/>
      <c r="O43" s="53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6" t="s">
        <v>18</v>
      </c>
      <c r="K46" s="47"/>
      <c r="L46" s="46" t="s">
        <v>19</v>
      </c>
      <c r="M46" s="47"/>
      <c r="N46" s="46" t="s">
        <v>20</v>
      </c>
      <c r="O46" s="47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I19:O19"/>
    <mergeCell ref="I20:O20"/>
    <mergeCell ref="I21:O21"/>
    <mergeCell ref="I32:O32"/>
    <mergeCell ref="I25:O25"/>
    <mergeCell ref="I23:O23"/>
    <mergeCell ref="I24:O24"/>
    <mergeCell ref="I22:O22"/>
  </mergeCells>
  <phoneticPr fontId="1"/>
  <dataValidations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9999admin</cp:lastModifiedBy>
  <cp:lastPrinted>2020-10-30T12:38:15Z</cp:lastPrinted>
  <dcterms:created xsi:type="dcterms:W3CDTF">2015-08-01T01:08:22Z</dcterms:created>
  <dcterms:modified xsi:type="dcterms:W3CDTF">2020-12-29T00:52:52Z</dcterms:modified>
</cp:coreProperties>
</file>